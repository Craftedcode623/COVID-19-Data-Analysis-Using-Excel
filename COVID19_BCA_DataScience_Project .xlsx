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itya\Downloads\"/>
    </mc:Choice>
  </mc:AlternateContent>
  <xr:revisionPtr revIDLastSave="0" documentId="13_ncr:1_{7BC04AD9-D56A-4F1E-ABA2-9EB00343D4E8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aw Data" sheetId="1" r:id="rId1"/>
    <sheet name="Data Cleaning" sheetId="2" r:id="rId2"/>
    <sheet name="Analysis" sheetId="3" r:id="rId3"/>
    <sheet name="Dashboard" sheetId="4" r:id="rId4"/>
    <sheet name="Project Guide" sheetId="5" r:id="rId5"/>
  </sheets>
  <calcPr calcId="191029"/>
  <extLst>
    <ext uri="GoogleSheetsCustomDataVersion2">
      <go:sheetsCustomData xmlns:go="http://customooxmlschemas.google.com/" r:id="rId9" roundtripDataChecksum="xY71vPYZZhQK7sMTIWfhsCWN/ylBCH9VHxu0P3M7riM="/>
    </ext>
  </extLst>
</workbook>
</file>

<file path=xl/calcChain.xml><?xml version="1.0" encoding="utf-8"?>
<calcChain xmlns="http://schemas.openxmlformats.org/spreadsheetml/2006/main">
  <c r="C19" i="2" l="1"/>
  <c r="D19" i="2"/>
  <c r="F19" i="2"/>
  <c r="E13" i="3"/>
  <c r="D13" i="3"/>
  <c r="C13" i="3"/>
  <c r="B13" i="3"/>
  <c r="B23" i="4" s="1"/>
  <c r="E12" i="3"/>
  <c r="D12" i="3"/>
  <c r="C12" i="3"/>
  <c r="B12" i="3"/>
  <c r="B22" i="4" s="1"/>
  <c r="E11" i="3"/>
  <c r="E21" i="4" s="1"/>
  <c r="D11" i="3"/>
  <c r="D21" i="4" s="1"/>
  <c r="C11" i="3"/>
  <c r="F11" i="3" s="1"/>
  <c r="F21" i="4" s="1"/>
  <c r="B11" i="3"/>
  <c r="B21" i="4" s="1"/>
  <c r="E10" i="3"/>
  <c r="E20" i="4" s="1"/>
  <c r="D10" i="3"/>
  <c r="D20" i="4" s="1"/>
  <c r="C10" i="3"/>
  <c r="C20" i="4" s="1"/>
  <c r="B10" i="3"/>
  <c r="B20" i="4" s="1"/>
  <c r="E9" i="3"/>
  <c r="E19" i="4" s="1"/>
  <c r="D9" i="3"/>
  <c r="D19" i="4" s="1"/>
  <c r="C9" i="3"/>
  <c r="B9" i="3"/>
  <c r="B19" i="4" s="1"/>
  <c r="E8" i="3"/>
  <c r="E18" i="4" s="1"/>
  <c r="D8" i="3"/>
  <c r="D18" i="4" s="1"/>
  <c r="C8" i="3"/>
  <c r="B8" i="3"/>
  <c r="B18" i="4" s="1"/>
  <c r="E7" i="3"/>
  <c r="D7" i="3"/>
  <c r="D17" i="4" s="1"/>
  <c r="C7" i="3"/>
  <c r="C17" i="4" s="1"/>
  <c r="B7" i="3"/>
  <c r="B17" i="4" s="1"/>
  <c r="E6" i="3"/>
  <c r="E16" i="4" s="1"/>
  <c r="D6" i="3"/>
  <c r="D16" i="4" s="1"/>
  <c r="C6" i="3"/>
  <c r="B6" i="3"/>
  <c r="B16" i="4" s="1"/>
  <c r="E5" i="3"/>
  <c r="D5" i="3"/>
  <c r="D15" i="4" s="1"/>
  <c r="C5" i="3"/>
  <c r="B5" i="3"/>
  <c r="B15" i="4" s="1"/>
  <c r="E4" i="3"/>
  <c r="E14" i="4" s="1"/>
  <c r="D4" i="3"/>
  <c r="D14" i="4" s="1"/>
  <c r="C4" i="3"/>
  <c r="B4" i="3"/>
  <c r="B14" i="4" s="1"/>
  <c r="I28" i="2"/>
  <c r="H28" i="2"/>
  <c r="G28" i="2"/>
  <c r="F28" i="2"/>
  <c r="E28" i="2"/>
  <c r="D28" i="2"/>
  <c r="C28" i="2"/>
  <c r="B28" i="2"/>
  <c r="I27" i="2"/>
  <c r="H27" i="2"/>
  <c r="G27" i="2"/>
  <c r="F27" i="2"/>
  <c r="E27" i="2"/>
  <c r="D27" i="2"/>
  <c r="C27" i="2"/>
  <c r="B27" i="2"/>
  <c r="I26" i="2"/>
  <c r="H26" i="2"/>
  <c r="G26" i="2"/>
  <c r="F26" i="2"/>
  <c r="E26" i="2"/>
  <c r="D26" i="2"/>
  <c r="C26" i="2"/>
  <c r="B26" i="2"/>
  <c r="I25" i="2"/>
  <c r="H25" i="2"/>
  <c r="G25" i="2"/>
  <c r="F25" i="2"/>
  <c r="E25" i="2"/>
  <c r="D25" i="2"/>
  <c r="C25" i="2"/>
  <c r="B25" i="2"/>
  <c r="I24" i="2"/>
  <c r="H24" i="2"/>
  <c r="G24" i="2"/>
  <c r="F24" i="2"/>
  <c r="E24" i="2"/>
  <c r="D24" i="2"/>
  <c r="C24" i="2"/>
  <c r="B24" i="2"/>
  <c r="I23" i="2"/>
  <c r="H23" i="2"/>
  <c r="G23" i="2"/>
  <c r="F23" i="2"/>
  <c r="E23" i="2"/>
  <c r="D23" i="2"/>
  <c r="C23" i="2"/>
  <c r="B23" i="2"/>
  <c r="I22" i="2"/>
  <c r="H22" i="2"/>
  <c r="G22" i="2"/>
  <c r="F22" i="2"/>
  <c r="E22" i="2"/>
  <c r="D22" i="2"/>
  <c r="C22" i="2"/>
  <c r="B22" i="2"/>
  <c r="I21" i="2"/>
  <c r="H21" i="2"/>
  <c r="G21" i="2"/>
  <c r="F21" i="2"/>
  <c r="E21" i="2"/>
  <c r="D21" i="2"/>
  <c r="C21" i="2"/>
  <c r="B21" i="2"/>
  <c r="I20" i="2"/>
  <c r="H20" i="2"/>
  <c r="G20" i="2"/>
  <c r="F20" i="2"/>
  <c r="E20" i="2"/>
  <c r="D20" i="2"/>
  <c r="C20" i="2"/>
  <c r="B20" i="2"/>
  <c r="I19" i="2"/>
  <c r="H19" i="2"/>
  <c r="G19" i="2"/>
  <c r="E19" i="2"/>
  <c r="B19" i="2"/>
  <c r="E15" i="2"/>
  <c r="D15" i="2"/>
  <c r="C15" i="2"/>
  <c r="G15" i="2" s="1"/>
  <c r="B15" i="2"/>
  <c r="E14" i="2"/>
  <c r="D14" i="2"/>
  <c r="C14" i="2"/>
  <c r="G14" i="2" s="1"/>
  <c r="B14" i="2"/>
  <c r="E13" i="2"/>
  <c r="D13" i="2"/>
  <c r="C13" i="2"/>
  <c r="G13" i="2" s="1"/>
  <c r="B13" i="2"/>
  <c r="E12" i="2"/>
  <c r="D12" i="2"/>
  <c r="C12" i="2"/>
  <c r="G12" i="2" s="1"/>
  <c r="B12" i="2"/>
  <c r="E11" i="2"/>
  <c r="D11" i="2"/>
  <c r="C11" i="2"/>
  <c r="G11" i="2" s="1"/>
  <c r="B11" i="2"/>
  <c r="E10" i="2"/>
  <c r="D10" i="2"/>
  <c r="C10" i="2"/>
  <c r="G10" i="2" s="1"/>
  <c r="B10" i="2"/>
  <c r="E9" i="2"/>
  <c r="D9" i="2"/>
  <c r="C9" i="2"/>
  <c r="G9" i="2" s="1"/>
  <c r="B9" i="2"/>
  <c r="E8" i="2"/>
  <c r="D8" i="2"/>
  <c r="C8" i="2"/>
  <c r="G8" i="2" s="1"/>
  <c r="B8" i="2"/>
  <c r="E7" i="2"/>
  <c r="D7" i="2"/>
  <c r="C7" i="2"/>
  <c r="G7" i="2" s="1"/>
  <c r="B7" i="2"/>
  <c r="E6" i="2"/>
  <c r="D6" i="2"/>
  <c r="C6" i="2"/>
  <c r="G6" i="2" s="1"/>
  <c r="B6" i="2"/>
  <c r="F13" i="1"/>
  <c r="E13" i="1"/>
  <c r="D13" i="1"/>
  <c r="E15" i="4" l="1"/>
  <c r="G5" i="3"/>
  <c r="K6" i="3"/>
  <c r="F11" i="2"/>
  <c r="G11" i="3"/>
  <c r="I11" i="3"/>
  <c r="I21" i="4" s="1"/>
  <c r="G6" i="3"/>
  <c r="H12" i="3"/>
  <c r="H22" i="4" s="1"/>
  <c r="K8" i="3"/>
  <c r="F13" i="2"/>
  <c r="G7" i="3"/>
  <c r="J7" i="3" s="1"/>
  <c r="J17" i="4" s="1"/>
  <c r="F5" i="3"/>
  <c r="F15" i="4" s="1"/>
  <c r="F9" i="2"/>
  <c r="F12" i="3"/>
  <c r="F22" i="4" s="1"/>
  <c r="F7" i="2"/>
  <c r="I5" i="3"/>
  <c r="I15" i="4" s="1"/>
  <c r="G10" i="3"/>
  <c r="G12" i="3"/>
  <c r="I8" i="3"/>
  <c r="I18" i="4" s="1"/>
  <c r="H10" i="3"/>
  <c r="H20" i="4" s="1"/>
  <c r="I12" i="3"/>
  <c r="I22" i="4" s="1"/>
  <c r="H6" i="3"/>
  <c r="H16" i="4" s="1"/>
  <c r="I10" i="3"/>
  <c r="I20" i="4" s="1"/>
  <c r="I13" i="3"/>
  <c r="I23" i="4" s="1"/>
  <c r="B21" i="3"/>
  <c r="F15" i="2"/>
  <c r="H13" i="3"/>
  <c r="H23" i="4" s="1"/>
  <c r="I9" i="3"/>
  <c r="I19" i="4" s="1"/>
  <c r="G13" i="3"/>
  <c r="J13" i="3" s="1"/>
  <c r="J23" i="4" s="1"/>
  <c r="I4" i="3"/>
  <c r="I14" i="4" s="1"/>
  <c r="I6" i="3"/>
  <c r="I16" i="4" s="1"/>
  <c r="G22" i="4"/>
  <c r="J12" i="3"/>
  <c r="J22" i="4" s="1"/>
  <c r="K7" i="3"/>
  <c r="K13" i="3"/>
  <c r="C19" i="3"/>
  <c r="B5" i="4"/>
  <c r="E17" i="4"/>
  <c r="F4" i="3"/>
  <c r="H5" i="3"/>
  <c r="H15" i="4" s="1"/>
  <c r="F10" i="3"/>
  <c r="F20" i="4" s="1"/>
  <c r="H11" i="3"/>
  <c r="H21" i="4" s="1"/>
  <c r="B17" i="3"/>
  <c r="D19" i="3"/>
  <c r="E5" i="4"/>
  <c r="C16" i="4"/>
  <c r="K12" i="3"/>
  <c r="C17" i="3"/>
  <c r="H5" i="4"/>
  <c r="H4" i="3"/>
  <c r="F9" i="3"/>
  <c r="F19" i="4" s="1"/>
  <c r="D17" i="3"/>
  <c r="K11" i="3"/>
  <c r="C15" i="4"/>
  <c r="C19" i="4"/>
  <c r="C23" i="4"/>
  <c r="F6" i="2"/>
  <c r="F8" i="2"/>
  <c r="F10" i="2"/>
  <c r="F12" i="2"/>
  <c r="F14" i="2"/>
  <c r="F8" i="3"/>
  <c r="F18" i="4" s="1"/>
  <c r="H9" i="3"/>
  <c r="H19" i="4" s="1"/>
  <c r="B18" i="3"/>
  <c r="B20" i="3"/>
  <c r="D23" i="4"/>
  <c r="G4" i="3"/>
  <c r="K5" i="3"/>
  <c r="G9" i="3"/>
  <c r="K4" i="3"/>
  <c r="G8" i="3"/>
  <c r="K10" i="3"/>
  <c r="C18" i="3"/>
  <c r="C20" i="3"/>
  <c r="E23" i="4"/>
  <c r="F7" i="3"/>
  <c r="F17" i="4" s="1"/>
  <c r="H8" i="3"/>
  <c r="H18" i="4" s="1"/>
  <c r="F13" i="3"/>
  <c r="F23" i="4" s="1"/>
  <c r="D18" i="3"/>
  <c r="D20" i="3"/>
  <c r="C14" i="4"/>
  <c r="C18" i="4"/>
  <c r="C22" i="4"/>
  <c r="K9" i="3"/>
  <c r="D22" i="4"/>
  <c r="F6" i="3"/>
  <c r="F16" i="4" s="1"/>
  <c r="H7" i="3"/>
  <c r="H17" i="4" s="1"/>
  <c r="E22" i="4"/>
  <c r="I7" i="3"/>
  <c r="I17" i="4" s="1"/>
  <c r="C21" i="4"/>
  <c r="B19" i="3"/>
  <c r="G15" i="4" l="1"/>
  <c r="J5" i="3"/>
  <c r="J15" i="4" s="1"/>
  <c r="J11" i="3"/>
  <c r="J21" i="4" s="1"/>
  <c r="G21" i="4"/>
  <c r="G16" i="4"/>
  <c r="J6" i="3"/>
  <c r="J16" i="4" s="1"/>
  <c r="G20" i="4"/>
  <c r="J10" i="3"/>
  <c r="J20" i="4" s="1"/>
  <c r="G17" i="4"/>
  <c r="G23" i="4"/>
  <c r="G14" i="4"/>
  <c r="F20" i="3"/>
  <c r="F18" i="3"/>
  <c r="J4" i="3"/>
  <c r="J14" i="4" s="1"/>
  <c r="E9" i="4"/>
  <c r="F19" i="3"/>
  <c r="G19" i="4"/>
  <c r="J9" i="3"/>
  <c r="J19" i="4" s="1"/>
  <c r="G18" i="4"/>
  <c r="J8" i="3"/>
  <c r="J18" i="4" s="1"/>
  <c r="F14" i="4"/>
  <c r="E20" i="3"/>
  <c r="E18" i="3"/>
  <c r="E17" i="3"/>
  <c r="B9" i="4"/>
  <c r="E19" i="3"/>
  <c r="G20" i="3"/>
  <c r="G18" i="3"/>
  <c r="H9" i="4"/>
  <c r="G19" i="3"/>
  <c r="H14" i="4"/>
</calcChain>
</file>

<file path=xl/sharedStrings.xml><?xml version="1.0" encoding="utf-8"?>
<sst xmlns="http://schemas.openxmlformats.org/spreadsheetml/2006/main" count="228" uniqueCount="171">
  <si>
    <t>S.No</t>
  </si>
  <si>
    <t>Country</t>
  </si>
  <si>
    <t>Continent</t>
  </si>
  <si>
    <t>Total Cases</t>
  </si>
  <si>
    <t>Total Deaths</t>
  </si>
  <si>
    <t>Total Recovered</t>
  </si>
  <si>
    <t>Date</t>
  </si>
  <si>
    <t>Population (M)</t>
  </si>
  <si>
    <t>Data Source</t>
  </si>
  <si>
    <t xml:space="preserve">  INDIA  </t>
  </si>
  <si>
    <t>asia</t>
  </si>
  <si>
    <t>01-Mar-2023</t>
  </si>
  <si>
    <t>WHO</t>
  </si>
  <si>
    <t>united states</t>
  </si>
  <si>
    <t>North America</t>
  </si>
  <si>
    <t xml:space="preserve">BRAZIL  </t>
  </si>
  <si>
    <t>south america</t>
  </si>
  <si>
    <t>france</t>
  </si>
  <si>
    <t>Europe</t>
  </si>
  <si>
    <t xml:space="preserve">  Germany</t>
  </si>
  <si>
    <t>RUSSIA</t>
  </si>
  <si>
    <t>south korea</t>
  </si>
  <si>
    <t>Asia</t>
  </si>
  <si>
    <t>JAPAN</t>
  </si>
  <si>
    <t xml:space="preserve">  italy  </t>
  </si>
  <si>
    <t>europe</t>
  </si>
  <si>
    <t>Australia</t>
  </si>
  <si>
    <t>Oceania</t>
  </si>
  <si>
    <t>TOTAL</t>
  </si>
  <si>
    <t>10 Countries</t>
  </si>
  <si>
    <t>—</t>
  </si>
  <si>
    <r>
      <rPr>
        <i/>
        <sz val="9"/>
        <color rgb="FF1A202C"/>
        <rFont val="Calibri"/>
      </rPr>
      <t xml:space="preserve"> </t>
    </r>
    <r>
      <rPr>
        <b/>
        <i/>
        <sz val="9"/>
        <color rgb="FF1A202C"/>
        <rFont val="Calibri"/>
      </rPr>
      <t>FORMULA USED:</t>
    </r>
    <r>
      <rPr>
        <i/>
        <sz val="9"/>
        <color rgb="FF1A202C"/>
        <rFont val="Calibri"/>
      </rPr>
      <t xml:space="preserve"> SUM — Adds up all values in a column. Used here for total cases, deaths and recovered across all countries.</t>
    </r>
  </si>
  <si>
    <t>DATA CLEANING — Fixing Errors &amp; Standardising the Raw Data</t>
  </si>
  <si>
    <t>Sheet Purpose: Clean data before analysis. Bad data = wrong results. We use TRIM, PROPER, IFERROR and IF here.</t>
  </si>
  <si>
    <t>SECTION A — Fixing Country Names &amp; Continent Text  (Functions: TRIM, PROPER)</t>
  </si>
  <si>
    <t>Country (Raw)</t>
  </si>
  <si>
    <t>Clean Country
(TRIM+PROPER)</t>
  </si>
  <si>
    <t>Continent (Raw)</t>
  </si>
  <si>
    <t>Clean Continent
(PROPER)</t>
  </si>
  <si>
    <t>Check Equal?</t>
  </si>
  <si>
    <t>Status</t>
  </si>
  <si>
    <t>SECTION B — Handling Missing / Bad Values  (Functions: IFERROR, IF)</t>
  </si>
  <si>
    <t>Cases (Safe)
IFERROR</t>
  </si>
  <si>
    <t>Deaths (Safe)
IFERROR</t>
  </si>
  <si>
    <t>Data OK?
IF+AND</t>
  </si>
  <si>
    <t>Remark</t>
  </si>
  <si>
    <t>ANALYSIS — Calculating Key COVID-19 Metrics Per Country</t>
  </si>
  <si>
    <t>Sheet Purpose: Use formulas to calculate Recovery Rate, Death Rate, Active Cases, and rank each country.</t>
  </si>
  <si>
    <t>Active Cases
=Cases−Deaths−Recov</t>
  </si>
  <si>
    <t>Recovery Rate
(%)</t>
  </si>
  <si>
    <t>Death Rate
(%)</t>
  </si>
  <si>
    <t>Rank
(by Cases)</t>
  </si>
  <si>
    <t>Status
(IF)</t>
  </si>
  <si>
    <t>VLOOKUP
Continent</t>
  </si>
  <si>
    <t>SUMMARY STATISTICS  (SUM, AVERAGE, MAX, MIN, COUNT)</t>
  </si>
  <si>
    <t>Metric</t>
  </si>
  <si>
    <t>Recovered</t>
  </si>
  <si>
    <t>Active Cases</t>
  </si>
  <si>
    <t>Avg Recovery%</t>
  </si>
  <si>
    <t>Avg Death%</t>
  </si>
  <si>
    <t>Notes</t>
  </si>
  <si>
    <t>SUM (Total)</t>
  </si>
  <si>
    <t>AVERAGE</t>
  </si>
  <si>
    <t>MAX (Highest)</t>
  </si>
  <si>
    <t>MIN (Lowest)</t>
  </si>
  <si>
    <t>COUNT (Rows)</t>
  </si>
  <si>
    <t>COVID-19 ANALYSIS DASHBOARD  —  Data Science Using Excel</t>
  </si>
  <si>
    <t>BCA Project | Subject: Data Science Using Excel | Source: WHO 2023</t>
  </si>
  <si>
    <t>🌍 TOTAL CASES</t>
  </si>
  <si>
    <t>💀 TOTAL DEATHS</t>
  </si>
  <si>
    <t>✅ TOTAL RECOVERED</t>
  </si>
  <si>
    <t>🟡 ACTIVE CASES</t>
  </si>
  <si>
    <t>📈 AVG RECOVERY %</t>
  </si>
  <si>
    <t>📉 AVG DEATH RATE%</t>
  </si>
  <si>
    <t>COUNTRY DATA (Auto-linked from Analysis Sheet)</t>
  </si>
  <si>
    <t>Recovery%</t>
  </si>
  <si>
    <t>Death%</t>
  </si>
  <si>
    <t>Rank</t>
  </si>
  <si>
    <t>HOW TO READ THIS DASHBOARD</t>
  </si>
  <si>
    <t>PROJECT GUIDE — How Each Formula Works</t>
  </si>
  <si>
    <t>Formula / Feature</t>
  </si>
  <si>
    <t xml:space="preserve">What It Does </t>
  </si>
  <si>
    <t xml:space="preserve">Example </t>
  </si>
  <si>
    <t>1</t>
  </si>
  <si>
    <t>TRIM</t>
  </si>
  <si>
    <t>Removes extra spaces from text (before and after)</t>
  </si>
  <si>
    <t>TRIM formula: '  india  ') → 'INDIA'. Say: 'I used TRIM to clean country names that had extra spaces in the raw data.'</t>
  </si>
  <si>
    <t>2</t>
  </si>
  <si>
    <t>PROPER</t>
  </si>
  <si>
    <t>Makes first letter capital, rest small</t>
  </si>
  <si>
    <t>​PROPER('south korea') → 'South Korea'. Say: 'PROPER standardises text so all names look consistent.'</t>
  </si>
  <si>
    <t>3</t>
  </si>
  <si>
    <t>IF</t>
  </si>
  <si>
    <t>Makes a decision: if condition is true do X, else do Y</t>
  </si>
  <si>
    <t>IF formula: G4&gt;=95,'excellent','good'). say: 'if checks the recovery rate and gives a label like excellent or poor.'</t>
  </si>
  <si>
    <t>4</t>
  </si>
  <si>
    <t>IFERROR</t>
  </si>
  <si>
    <t>If formula gives error, show 0 or a message instead</t>
  </si>
  <si>
    <t>IFERROR formula: E4/C4,0). say: 'if cases is 0, dividing causes an error. iferror handles it safely.'</t>
  </si>
  <si>
    <t>5</t>
  </si>
  <si>
    <t>SUM</t>
  </si>
  <si>
    <t>Adds all numbers in a range</t>
  </si>
  <si>
    <t>SUM formula: C4:C13) adds total cases of all 10 countries. say: 'sum gives us the overall global total.'</t>
  </si>
  <si>
    <t>6</t>
  </si>
  <si>
    <t>Finds the mean (middle) value of a range</t>
  </si>
  <si>
    <t>AVERAGE formula: G4:G13). say: 'average tells us the typical recovery rate across all countries.'</t>
  </si>
  <si>
    <t>7</t>
  </si>
  <si>
    <t>COUNT</t>
  </si>
  <si>
    <t>Counts how many cells have numbers</t>
  </si>
  <si>
    <t>COUNT formula: C4:C13) → 10. Say: 'COUNT tells us how many countries have valid case data.'</t>
  </si>
  <si>
    <t>8</t>
  </si>
  <si>
    <t>MAX</t>
  </si>
  <si>
    <t>Returns the largest value in a range</t>
  </si>
  <si>
    <t>MAX formula: C4:C13) → US cases. Say: 'MAX finds the country with the most COVID cases.'</t>
  </si>
  <si>
    <t>9</t>
  </si>
  <si>
    <t>MIN</t>
  </si>
  <si>
    <t>Returns the smallest value in a range</t>
  </si>
  <si>
    <t>MIN formula: H4:H13). say: 'min helps find the country with the lowest death rate — best performer.'</t>
  </si>
  <si>
    <t>10</t>
  </si>
  <si>
    <t>RANK</t>
  </si>
  <si>
    <t>Ranks a value compared to others (1 = highest)</t>
  </si>
  <si>
    <t>RANK formula: C4,C$4:C$13,0). say: 'rank assigns position 1 to the country with most cases, 10 to least.'</t>
  </si>
  <si>
    <t>11</t>
  </si>
  <si>
    <t>VLOOKUP</t>
  </si>
  <si>
    <t>Looks up a value in a table and returns a related value</t>
  </si>
  <si>
    <t>VLOOKUP formula: 'india', table, 3, FALSE()). say: 'vlookup lets me look up a country and get its continent automatically.'</t>
  </si>
  <si>
    <t>12</t>
  </si>
  <si>
    <t>Active Cases Formula</t>
  </si>
  <si>
    <t>Cases not yet resolved (alive patients)</t>
  </si>
  <si>
    <t>​total cases − Deaths − Recovered. Say: 'Active cases show how many people are still ill right now.'</t>
  </si>
  <si>
    <t>13</t>
  </si>
  <si>
    <t>Recovery Rate</t>
  </si>
  <si>
    <t>Percentage of patients who recovered</t>
  </si>
  <si>
    <t>​recovered/cases × 100. Say: 'A 97% recovery rate means 97 out of 100 patients recovered.'</t>
  </si>
  <si>
    <t>14</t>
  </si>
  <si>
    <t>Death Rate</t>
  </si>
  <si>
    <t>Percentage of patients who died</t>
  </si>
  <si>
    <t>​deaths/cases × 100. Say: 'A 1% death rate means 1 out of 100 patients died — used to compare countries.'</t>
  </si>
  <si>
    <t>15</t>
  </si>
  <si>
    <t>Conditional Formatting</t>
  </si>
  <si>
    <t>Automatically colours cells based on value</t>
  </si>
  <si>
    <t>Green = high recovery, Red = high death rate. Say: 'CF makes it easy to spot best and worst performers visually.'</t>
  </si>
  <si>
    <t>16</t>
  </si>
  <si>
    <t>Bar Chart</t>
  </si>
  <si>
    <t>Compares values across categories using vertical bars</t>
  </si>
  <si>
    <t>Used to compare total cases per country. Say: 'Bar chart helps compare all 10 countries side by side.'</t>
  </si>
  <si>
    <t>17</t>
  </si>
  <si>
    <t>Line Chart</t>
  </si>
  <si>
    <t>Shows trends or comparisons using a line</t>
  </si>
  <si>
    <t>Used for Recovery Rate. Say: 'Line chart shows which countries have better recovery performance.'</t>
  </si>
  <si>
    <t>18</t>
  </si>
  <si>
    <t>Pie Chart</t>
  </si>
  <si>
    <t>Shows each value as a slice of the whole circle</t>
  </si>
  <si>
    <t>Used for case share. Say: 'Pie chart shows US, India, Brazil hold the largest share of global cases.'</t>
  </si>
  <si>
    <t xml:space="preserve">RAW DATA — COVID-19 Country-Wise Dataset </t>
  </si>
  <si>
    <r>
      <t xml:space="preserve"> </t>
    </r>
    <r>
      <rPr>
        <b/>
        <i/>
        <sz val="9"/>
        <color rgb="FF1A202C"/>
        <rFont val="Calibri"/>
        <family val="2"/>
      </rPr>
      <t>TRIM:</t>
    </r>
    <r>
      <rPr>
        <i/>
        <sz val="9"/>
        <color rgb="FF1A202C"/>
        <rFont val="Calibri"/>
      </rPr>
      <t xml:space="preserve"> Removes extra spaces. Example: '  INDIA  ' becomes 'INDIA'. Very common issue in real datasets.</t>
    </r>
  </si>
  <si>
    <r>
      <rPr>
        <b/>
        <i/>
        <sz val="9"/>
        <color rgb="FF1A202C"/>
        <rFont val="Calibri"/>
        <family val="2"/>
      </rPr>
      <t xml:space="preserve"> PROPER:</t>
    </r>
    <r>
      <rPr>
        <i/>
        <sz val="9"/>
        <color rgb="FF1A202C"/>
        <rFont val="Calibri"/>
      </rPr>
      <t xml:space="preserve"> Capitalises first letter. Example: 'south korea' becomes 'South Korea'.</t>
    </r>
  </si>
  <si>
    <r>
      <rPr>
        <b/>
        <i/>
        <sz val="9"/>
        <color rgb="FF1A202C"/>
        <rFont val="Calibri"/>
        <family val="2"/>
      </rPr>
      <t xml:space="preserve"> IF:</t>
    </r>
    <r>
      <rPr>
        <i/>
        <sz val="9"/>
        <color rgb="FF1A202C"/>
        <rFont val="Calibri"/>
      </rPr>
      <t xml:space="preserve"> Makes a decision. =IF(condition, value_if_true, value_if_false). Core of Excel logic.</t>
    </r>
  </si>
  <si>
    <r>
      <rPr>
        <b/>
        <i/>
        <sz val="9"/>
        <color rgb="FF1A202C"/>
        <rFont val="Calibri"/>
        <family val="2"/>
      </rPr>
      <t xml:space="preserve"> IFERROR:</t>
    </r>
    <r>
      <rPr>
        <i/>
        <sz val="9"/>
        <color rgb="FF1A202C"/>
        <rFont val="Calibri"/>
      </rPr>
      <t xml:space="preserve"> If a formula gives an error, show 0 instead of divide-by-zero error. Protects your spreadsheet.</t>
    </r>
  </si>
  <si>
    <r>
      <rPr>
        <b/>
        <i/>
        <sz val="9"/>
        <color rgb="FF1A202C"/>
        <rFont val="Calibri"/>
        <family val="2"/>
      </rPr>
      <t>ACTIVE CASES =</t>
    </r>
    <r>
      <rPr>
        <i/>
        <sz val="9"/>
        <color rgb="FF1A202C"/>
        <rFont val="Calibri"/>
      </rPr>
      <t xml:space="preserve"> Total Cases − Total Deaths − Total Recovered. Shows how many people are still sick right now.</t>
    </r>
  </si>
  <si>
    <r>
      <rPr>
        <b/>
        <i/>
        <sz val="9"/>
        <color rgb="FF1A202C"/>
        <rFont val="Calibri"/>
        <family val="2"/>
      </rPr>
      <t>RECOVERY RATE =</t>
    </r>
    <r>
      <rPr>
        <i/>
        <sz val="9"/>
        <color rgb="FF1A202C"/>
        <rFont val="Calibri"/>
      </rPr>
      <t xml:space="preserve"> (Recovered ÷ Cases) × 100. A higher % means the country handled the disease better.</t>
    </r>
  </si>
  <si>
    <r>
      <rPr>
        <b/>
        <i/>
        <sz val="9"/>
        <color rgb="FF1A202C"/>
        <rFont val="Calibri"/>
        <family val="2"/>
      </rPr>
      <t xml:space="preserve">DEATH RATE = </t>
    </r>
    <r>
      <rPr>
        <i/>
        <sz val="9"/>
        <color rgb="FF1A202C"/>
        <rFont val="Calibri"/>
      </rPr>
      <t>(Deaths ÷ Cases) × 100. Lower % is better. Helps compare healthcare quality across countries.</t>
    </r>
  </si>
  <si>
    <r>
      <rPr>
        <b/>
        <i/>
        <sz val="9"/>
        <color rgb="FF1A202C"/>
        <rFont val="Calibri"/>
        <family val="2"/>
      </rPr>
      <t>RANK:</t>
    </r>
    <r>
      <rPr>
        <i/>
        <sz val="9"/>
        <color rgb="FF1A202C"/>
        <rFont val="Calibri"/>
      </rPr>
      <t xml:space="preserve"> Ranks each country by total cases. Rank 1 = highest cases. VLOOKUP looks up a value from another table/sheet.</t>
    </r>
  </si>
  <si>
    <r>
      <rPr>
        <b/>
        <sz val="9"/>
        <color rgb="FF1A202C"/>
        <rFont val="Calibri"/>
        <family val="2"/>
      </rPr>
      <t>📊 Bar Chart (Column):</t>
    </r>
    <r>
      <rPr>
        <sz val="9"/>
        <color rgb="FF1A202C"/>
        <rFont val="Calibri"/>
      </rPr>
      <t xml:space="preserve"> Compares total cases for each country side by side. Taller bar = more cases.</t>
    </r>
  </si>
  <si>
    <r>
      <rPr>
        <b/>
        <sz val="9"/>
        <color rgb="FF1A202C"/>
        <rFont val="Calibri"/>
        <family val="2"/>
      </rPr>
      <t>📈 Line Chart:</t>
    </r>
    <r>
      <rPr>
        <sz val="9"/>
        <color rgb="FF1A202C"/>
        <rFont val="Calibri"/>
      </rPr>
      <t xml:space="preserve"> Shows Recovery Rate (%) for each country. A rising or high line = better recovery performance.</t>
    </r>
  </si>
  <si>
    <r>
      <rPr>
        <b/>
        <sz val="9"/>
        <color rgb="FF1A202C"/>
        <rFont val="Calibri"/>
        <family val="2"/>
      </rPr>
      <t>🥧 Pie Chart:</t>
    </r>
    <r>
      <rPr>
        <sz val="9"/>
        <color rgb="FF1A202C"/>
        <rFont val="Calibri"/>
      </rPr>
      <t xml:space="preserve"> Shows each country's share of total global cases. Bigger slice = larger portion of world cases.</t>
    </r>
  </si>
  <si>
    <r>
      <rPr>
        <b/>
        <sz val="9"/>
        <color rgb="FF1A202C"/>
        <rFont val="Calibri"/>
        <family val="2"/>
      </rPr>
      <t xml:space="preserve">📉 Horizontal Bar Chart: </t>
    </r>
    <r>
      <rPr>
        <sz val="9"/>
        <color rgb="FF1A202C"/>
        <rFont val="Calibri"/>
        <family val="2"/>
      </rPr>
      <t>Death Rate comparison. Shorter bar = lower death rate = better healthcare outcome.</t>
    </r>
  </si>
  <si>
    <r>
      <rPr>
        <b/>
        <sz val="9"/>
        <color rgb="FF1A202C"/>
        <rFont val="Calibri"/>
        <family val="2"/>
      </rPr>
      <t>🎨 Conditional Formatting (green/yellow/red):</t>
    </r>
    <r>
      <rPr>
        <sz val="9"/>
        <color rgb="FF1A202C"/>
        <rFont val="Calibri"/>
      </rPr>
      <t xml:space="preserve"> Automatically colours cells — green = good recovery, red = high death rate.</t>
    </r>
  </si>
  <si>
    <r>
      <rPr>
        <b/>
        <i/>
        <sz val="9"/>
        <color rgb="FF1A202C"/>
        <rFont val="Calibri"/>
        <family val="2"/>
      </rPr>
      <t xml:space="preserve"> WHAT IS DATA SCIENCE USING EXCEL?</t>
    </r>
    <r>
      <rPr>
        <i/>
        <sz val="9"/>
        <color rgb="FF1A202C"/>
        <rFont val="Calibri"/>
      </rPr>
      <t xml:space="preserve"> Data Science = Collecting data → Cleaning it → Analysing it → Visualising it → Drawing insights. </t>
    </r>
  </si>
  <si>
    <r>
      <t xml:space="preserve"> WHY THIS PROJECT MATTERS: </t>
    </r>
    <r>
      <rPr>
        <i/>
        <sz val="9"/>
        <color rgb="FF1A202C"/>
        <rFont val="Calibri"/>
        <family val="2"/>
      </rPr>
      <t>COVID-19 data is real-world data. Using Excel to analyse it shows how Data Science is applied to solve actual global problems.</t>
    </r>
  </si>
  <si>
    <r>
      <rPr>
        <b/>
        <i/>
        <sz val="9"/>
        <color rgb="FF1A202C"/>
        <rFont val="Calibri"/>
        <family val="2"/>
      </rPr>
      <t xml:space="preserve">  PROJECT SUMMARY:</t>
    </r>
    <r>
      <rPr>
        <i/>
        <sz val="9"/>
        <color rgb="FF1A202C"/>
        <rFont val="Calibri"/>
      </rPr>
      <t xml:space="preserve"> This project has 4 working sheets: Raw Data → Data Cleaning → Analysis → Dashboard. It uses 18 Excel features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</si>
</sst>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5">
    <font>
      <sz val="11"/>
      <color theme="1"/>
      <name val="Calibri"/>
      <scheme val="minor"/>
    </font>
    <font>
      <b/>
      <sz val="13"/>
      <color rgb="FFFFFFFF"/>
      <name val="Calibri"/>
    </font>
    <font>
      <sz val="11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sz val="10"/>
      <color rgb="FF1A202C"/>
      <name val="Calibri"/>
    </font>
    <font>
      <sz val="10"/>
      <color rgb="FFFFFFFF"/>
      <name val="Calibri"/>
    </font>
    <font>
      <i/>
      <sz val="9"/>
      <color rgb="FF1A202C"/>
      <name val="Calibri"/>
    </font>
    <font>
      <b/>
      <sz val="10"/>
      <color rgb="FF1A202C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20"/>
      <color rgb="FF2176AE"/>
      <name val="Calibri"/>
    </font>
    <font>
      <b/>
      <sz val="20"/>
      <color rgb="FFC0392B"/>
      <name val="Calibri"/>
    </font>
    <font>
      <b/>
      <sz val="20"/>
      <color rgb="FF1E8449"/>
      <name val="Calibri"/>
    </font>
    <font>
      <sz val="11"/>
      <color theme="1"/>
      <name val="Calibri"/>
    </font>
    <font>
      <b/>
      <sz val="20"/>
      <color rgb="FFB7770D"/>
      <name val="Calibri"/>
    </font>
    <font>
      <b/>
      <sz val="20"/>
      <color rgb="FF148F77"/>
      <name val="Calibri"/>
    </font>
    <font>
      <sz val="9"/>
      <color rgb="FF1A202C"/>
      <name val="Calibri"/>
    </font>
    <font>
      <b/>
      <sz val="9"/>
      <color rgb="FF1A202C"/>
      <name val="Calibri"/>
    </font>
    <font>
      <b/>
      <i/>
      <sz val="9"/>
      <color rgb="FF1A202C"/>
      <name val="Calibri"/>
    </font>
    <font>
      <b/>
      <i/>
      <sz val="9"/>
      <color rgb="FF1A202C"/>
      <name val="Calibri"/>
      <family val="2"/>
    </font>
    <font>
      <i/>
      <sz val="9"/>
      <color rgb="FF1A202C"/>
      <name val="Calibri"/>
      <family val="2"/>
    </font>
    <font>
      <b/>
      <sz val="11"/>
      <color rgb="FFFFFFFF"/>
      <name val="Calibri"/>
      <family val="2"/>
    </font>
    <font>
      <b/>
      <sz val="9"/>
      <color rgb="FF1A202C"/>
      <name val="Calibri"/>
      <family val="2"/>
    </font>
    <font>
      <sz val="9"/>
      <color rgb="FF1A202C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2176AE"/>
        <bgColor rgb="FF2176AE"/>
      </patternFill>
    </fill>
    <fill>
      <patternFill patternType="solid">
        <fgColor rgb="FFC0392B"/>
        <bgColor rgb="FFC0392B"/>
      </patternFill>
    </fill>
    <fill>
      <patternFill patternType="solid">
        <fgColor rgb="FF148F77"/>
        <bgColor rgb="FF148F77"/>
      </patternFill>
    </fill>
    <fill>
      <patternFill patternType="solid">
        <fgColor rgb="FFF2F3F4"/>
        <bgColor rgb="FFF2F3F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DBD8"/>
        <bgColor rgb="FFFADBD8"/>
      </patternFill>
    </fill>
    <fill>
      <patternFill patternType="solid">
        <fgColor rgb="FFD5F5E3"/>
        <bgColor rgb="FFD5F5E3"/>
      </patternFill>
    </fill>
    <fill>
      <patternFill patternType="solid">
        <fgColor rgb="FFB7770D"/>
        <bgColor rgb="FFB7770D"/>
      </patternFill>
    </fill>
    <fill>
      <patternFill patternType="solid">
        <fgColor rgb="FFFDEBD0"/>
        <bgColor rgb="FFFDEBD0"/>
      </patternFill>
    </fill>
    <fill>
      <patternFill patternType="solid">
        <fgColor rgb="FFD6EAF8"/>
        <bgColor rgb="FFD6EAF8"/>
      </patternFill>
    </fill>
    <fill>
      <patternFill patternType="solid">
        <fgColor rgb="FF1E8449"/>
        <bgColor rgb="FF1E844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3" fontId="5" fillId="6" borderId="4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3" fontId="5" fillId="7" borderId="4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3" fontId="5" fillId="10" borderId="4" xfId="0" applyNumberFormat="1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left" vertical="center" wrapText="1"/>
    </xf>
    <xf numFmtId="3" fontId="8" fillId="12" borderId="4" xfId="0" applyNumberFormat="1" applyFont="1" applyFill="1" applyBorder="1" applyAlignment="1">
      <alignment horizontal="center" vertical="center" wrapText="1"/>
    </xf>
    <xf numFmtId="2" fontId="5" fillId="10" borderId="4" xfId="0" applyNumberFormat="1" applyFont="1" applyFill="1" applyBorder="1" applyAlignment="1">
      <alignment horizontal="center" vertical="center" wrapText="1"/>
    </xf>
    <xf numFmtId="164" fontId="5" fillId="9" borderId="4" xfId="0" applyNumberFormat="1" applyFont="1" applyFill="1" applyBorder="1" applyAlignment="1">
      <alignment horizontal="center" vertical="center" wrapText="1"/>
    </xf>
    <xf numFmtId="0" fontId="8" fillId="13" borderId="4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 wrapText="1"/>
    </xf>
    <xf numFmtId="2" fontId="5" fillId="6" borderId="4" xfId="0" applyNumberFormat="1" applyFont="1" applyFill="1" applyBorder="1" applyAlignment="1">
      <alignment horizontal="center" vertical="center" wrapText="1"/>
    </xf>
    <xf numFmtId="2" fontId="5" fillId="7" borderId="4" xfId="0" applyNumberFormat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165" fontId="5" fillId="10" borderId="4" xfId="0" applyNumberFormat="1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left" vertical="center" wrapText="1"/>
    </xf>
    <xf numFmtId="49" fontId="7" fillId="13" borderId="4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7" fillId="8" borderId="5" xfId="0" applyFont="1" applyFill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21" fillId="8" borderId="5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3" fontId="12" fillId="7" borderId="5" xfId="0" applyNumberFormat="1" applyFont="1" applyFill="1" applyBorder="1" applyAlignment="1">
      <alignment horizontal="center" vertical="center"/>
    </xf>
    <xf numFmtId="3" fontId="13" fillId="7" borderId="5" xfId="0" applyNumberFormat="1" applyFont="1" applyFill="1" applyBorder="1" applyAlignment="1">
      <alignment horizontal="center" vertical="center"/>
    </xf>
    <xf numFmtId="3" fontId="11" fillId="7" borderId="5" xfId="0" applyNumberFormat="1" applyFont="1" applyFill="1" applyBorder="1" applyAlignment="1">
      <alignment horizontal="center" vertical="center"/>
    </xf>
    <xf numFmtId="0" fontId="14" fillId="0" borderId="0" xfId="0" applyFont="1"/>
    <xf numFmtId="0" fontId="0" fillId="0" borderId="0" xfId="0"/>
    <xf numFmtId="0" fontId="3" fillId="11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3" fontId="15" fillId="7" borderId="5" xfId="0" applyNumberFormat="1" applyFont="1" applyFill="1" applyBorder="1" applyAlignment="1">
      <alignment horizontal="center" vertical="center"/>
    </xf>
    <xf numFmtId="3" fontId="16" fillId="7" borderId="5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left" vertical="center" wrapText="1"/>
    </xf>
    <xf numFmtId="0" fontId="18" fillId="7" borderId="5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24" fillId="7" borderId="5" xfId="0" applyFont="1" applyFill="1" applyBorder="1" applyAlignment="1">
      <alignment horizontal="left" vertical="center" wrapText="1"/>
    </xf>
    <xf numFmtId="0" fontId="24" fillId="6" borderId="5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2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Total COVID-19 Cases by Country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Cases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Dashboard!$B$14:$B$23</c:f>
              <c:strCache>
                <c:ptCount val="10"/>
                <c:pt idx="0">
                  <c:v>India</c:v>
                </c:pt>
                <c:pt idx="1">
                  <c:v>United States</c:v>
                </c:pt>
                <c:pt idx="2">
                  <c:v>Brazil</c:v>
                </c:pt>
                <c:pt idx="3">
                  <c:v>France</c:v>
                </c:pt>
                <c:pt idx="4">
                  <c:v>Germany</c:v>
                </c:pt>
                <c:pt idx="5">
                  <c:v>Russia</c:v>
                </c:pt>
                <c:pt idx="6">
                  <c:v>South Korea</c:v>
                </c:pt>
                <c:pt idx="7">
                  <c:v>Japan</c:v>
                </c:pt>
                <c:pt idx="8">
                  <c:v>Italy</c:v>
                </c:pt>
                <c:pt idx="9">
                  <c:v>Australia</c:v>
                </c:pt>
              </c:strCache>
            </c:strRef>
          </c:cat>
          <c:val>
            <c:numRef>
              <c:f>Dashboard!$C$14:$C$23</c:f>
              <c:numCache>
                <c:formatCode>#,##0</c:formatCode>
                <c:ptCount val="10"/>
                <c:pt idx="0">
                  <c:v>44690000</c:v>
                </c:pt>
                <c:pt idx="1">
                  <c:v>103436829</c:v>
                </c:pt>
                <c:pt idx="2">
                  <c:v>37076053</c:v>
                </c:pt>
                <c:pt idx="3">
                  <c:v>39856648</c:v>
                </c:pt>
                <c:pt idx="4">
                  <c:v>38249060</c:v>
                </c:pt>
                <c:pt idx="5">
                  <c:v>22073615</c:v>
                </c:pt>
                <c:pt idx="6">
                  <c:v>30620470</c:v>
                </c:pt>
                <c:pt idx="7">
                  <c:v>33297103</c:v>
                </c:pt>
                <c:pt idx="8">
                  <c:v>25627478</c:v>
                </c:pt>
                <c:pt idx="9">
                  <c:v>11317009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124-4D07-A58C-09CDEB1BA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9919808"/>
        <c:axId val="886970891"/>
      </c:barChart>
      <c:catAx>
        <c:axId val="929919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Country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6970891"/>
        <c:crosses val="autoZero"/>
        <c:auto val="1"/>
        <c:lblAlgn val="ctr"/>
        <c:lblOffset val="100"/>
        <c:noMultiLvlLbl val="1"/>
      </c:catAx>
      <c:valAx>
        <c:axId val="886970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Total Cases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99198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Recovery Rate (%) per Country</a:t>
            </a:r>
          </a:p>
        </c:rich>
      </c:tx>
      <c:layout>
        <c:manualLayout>
          <c:xMode val="edge"/>
          <c:yMode val="edge"/>
          <c:x val="0.19096124195237929"/>
          <c:y val="2.40035577256137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43209397031649"/>
          <c:y val="0.13801232413305392"/>
          <c:w val="0.68015050918635167"/>
          <c:h val="0.521832770903637"/>
        </c:manualLayout>
      </c:layout>
      <c:lineChart>
        <c:grouping val="standard"/>
        <c:varyColors val="0"/>
        <c:ser>
          <c:idx val="0"/>
          <c:order val="0"/>
          <c:tx>
            <c:v>Recovery%</c:v>
          </c:tx>
          <c:spPr>
            <a:ln w="38100" cmpd="sng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Dashboard!$B$14:$B$23</c:f>
              <c:strCache>
                <c:ptCount val="10"/>
                <c:pt idx="0">
                  <c:v>India</c:v>
                </c:pt>
                <c:pt idx="1">
                  <c:v>United States</c:v>
                </c:pt>
                <c:pt idx="2">
                  <c:v>Brazil</c:v>
                </c:pt>
                <c:pt idx="3">
                  <c:v>France</c:v>
                </c:pt>
                <c:pt idx="4">
                  <c:v>Germany</c:v>
                </c:pt>
                <c:pt idx="5">
                  <c:v>Russia</c:v>
                </c:pt>
                <c:pt idx="6">
                  <c:v>South Korea</c:v>
                </c:pt>
                <c:pt idx="7">
                  <c:v>Japan</c:v>
                </c:pt>
                <c:pt idx="8">
                  <c:v>Italy</c:v>
                </c:pt>
                <c:pt idx="9">
                  <c:v>Australia</c:v>
                </c:pt>
              </c:strCache>
            </c:strRef>
          </c:cat>
          <c:val>
            <c:numRef>
              <c:f>Dashboard!$G$14:$G$23</c:f>
              <c:numCache>
                <c:formatCode>0.0</c:formatCode>
                <c:ptCount val="10"/>
                <c:pt idx="0">
                  <c:v>98.679794137390914</c:v>
                </c:pt>
                <c:pt idx="1">
                  <c:v>97.644137950129931</c:v>
                </c:pt>
                <c:pt idx="2">
                  <c:v>97.63714600364824</c:v>
                </c:pt>
                <c:pt idx="3">
                  <c:v>99.105173119425388</c:v>
                </c:pt>
                <c:pt idx="4">
                  <c:v>99.348846742900349</c:v>
                </c:pt>
                <c:pt idx="5">
                  <c:v>97.401354513069109</c:v>
                </c:pt>
                <c:pt idx="6">
                  <c:v>99.606570375960914</c:v>
                </c:pt>
                <c:pt idx="7">
                  <c:v>98.807394745422755</c:v>
                </c:pt>
                <c:pt idx="8">
                  <c:v>98.722160643353192</c:v>
                </c:pt>
                <c:pt idx="9">
                  <c:v>98.966078404638537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2D-478F-9189-57FC02D5B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5773597"/>
        <c:axId val="697888771"/>
      </c:lineChart>
      <c:catAx>
        <c:axId val="1015773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Country</a:t>
                </a:r>
              </a:p>
            </c:rich>
          </c:tx>
          <c:layout>
            <c:manualLayout>
              <c:xMode val="edge"/>
              <c:yMode val="edge"/>
              <c:x val="0.44494168049621602"/>
              <c:y val="0.88617754840026208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7888771"/>
        <c:crosses val="autoZero"/>
        <c:auto val="1"/>
        <c:lblAlgn val="ctr"/>
        <c:lblOffset val="100"/>
        <c:noMultiLvlLbl val="1"/>
      </c:catAx>
      <c:valAx>
        <c:axId val="697888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Recovery Rate (%)</a:t>
                </a:r>
              </a:p>
            </c:rich>
          </c:tx>
          <c:layout>
            <c:manualLayout>
              <c:xMode val="edge"/>
              <c:yMode val="edge"/>
              <c:x val="2.9505078681308337E-2"/>
              <c:y val="0.24544277307410925"/>
            </c:manualLayout>
          </c:layout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1577359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Share of Total Cases (Top 10 Countries)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Dashboard!$C$13</c:f>
              <c:strCache>
                <c:ptCount val="1"/>
                <c:pt idx="0">
                  <c:v>Total Cases</c:v>
                </c:pt>
              </c:strCache>
            </c:strRef>
          </c:tx>
          <c:dPt>
            <c:idx val="0"/>
            <c:bubble3D val="0"/>
            <c:spPr>
              <a:solidFill>
                <a:srgbClr val="4672A8"/>
              </a:solidFill>
            </c:spPr>
            <c:extLst>
              <c:ext xmlns:c16="http://schemas.microsoft.com/office/drawing/2014/chart" uri="{C3380CC4-5D6E-409C-BE32-E72D297353CC}">
                <c16:uniqueId val="{00000001-87A4-4324-86CD-ABB113536824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</c:spPr>
            <c:extLst>
              <c:ext xmlns:c16="http://schemas.microsoft.com/office/drawing/2014/chart" uri="{C3380CC4-5D6E-409C-BE32-E72D297353CC}">
                <c16:uniqueId val="{00000003-87A4-4324-86CD-ABB113536824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</c:spPr>
            <c:extLst>
              <c:ext xmlns:c16="http://schemas.microsoft.com/office/drawing/2014/chart" uri="{C3380CC4-5D6E-409C-BE32-E72D297353CC}">
                <c16:uniqueId val="{00000005-87A4-4324-86CD-ABB113536824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</c:spPr>
            <c:extLst>
              <c:ext xmlns:c16="http://schemas.microsoft.com/office/drawing/2014/chart" uri="{C3380CC4-5D6E-409C-BE32-E72D297353CC}">
                <c16:uniqueId val="{00000007-87A4-4324-86CD-ABB113536824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</c:spPr>
            <c:extLst>
              <c:ext xmlns:c16="http://schemas.microsoft.com/office/drawing/2014/chart" uri="{C3380CC4-5D6E-409C-BE32-E72D297353CC}">
                <c16:uniqueId val="{00000009-87A4-4324-86CD-ABB113536824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</c:spPr>
            <c:extLst>
              <c:ext xmlns:c16="http://schemas.microsoft.com/office/drawing/2014/chart" uri="{C3380CC4-5D6E-409C-BE32-E72D297353CC}">
                <c16:uniqueId val="{0000000B-87A4-4324-86CD-ABB113536824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</c:spPr>
            <c:extLst>
              <c:ext xmlns:c16="http://schemas.microsoft.com/office/drawing/2014/chart" uri="{C3380CC4-5D6E-409C-BE32-E72D297353CC}">
                <c16:uniqueId val="{0000000D-87A4-4324-86CD-ABB113536824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</c:spPr>
            <c:extLst>
              <c:ext xmlns:c16="http://schemas.microsoft.com/office/drawing/2014/chart" uri="{C3380CC4-5D6E-409C-BE32-E72D297353CC}">
                <c16:uniqueId val="{0000000F-87A4-4324-86CD-ABB113536824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</c:spPr>
            <c:extLst>
              <c:ext xmlns:c16="http://schemas.microsoft.com/office/drawing/2014/chart" uri="{C3380CC4-5D6E-409C-BE32-E72D297353CC}">
                <c16:uniqueId val="{00000011-87A4-4324-86CD-ABB113536824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</c:spPr>
            <c:extLst>
              <c:ext xmlns:c16="http://schemas.microsoft.com/office/drawing/2014/chart" uri="{C3380CC4-5D6E-409C-BE32-E72D297353CC}">
                <c16:uniqueId val="{00000013-87A4-4324-86CD-ABB113536824}"/>
              </c:ext>
            </c:extLst>
          </c:dPt>
          <c:cat>
            <c:strRef>
              <c:f>Dashboard!$B$14:$B$23</c:f>
              <c:strCache>
                <c:ptCount val="10"/>
                <c:pt idx="0">
                  <c:v>India</c:v>
                </c:pt>
                <c:pt idx="1">
                  <c:v>United States</c:v>
                </c:pt>
                <c:pt idx="2">
                  <c:v>Brazil</c:v>
                </c:pt>
                <c:pt idx="3">
                  <c:v>France</c:v>
                </c:pt>
                <c:pt idx="4">
                  <c:v>Germany</c:v>
                </c:pt>
                <c:pt idx="5">
                  <c:v>Russia</c:v>
                </c:pt>
                <c:pt idx="6">
                  <c:v>South Korea</c:v>
                </c:pt>
                <c:pt idx="7">
                  <c:v>Japan</c:v>
                </c:pt>
                <c:pt idx="8">
                  <c:v>Italy</c:v>
                </c:pt>
                <c:pt idx="9">
                  <c:v>Australia</c:v>
                </c:pt>
              </c:strCache>
            </c:strRef>
          </c:cat>
          <c:val>
            <c:numRef>
              <c:f>Dashboard!$C$14:$C$23</c:f>
              <c:numCache>
                <c:formatCode>#,##0</c:formatCode>
                <c:ptCount val="10"/>
                <c:pt idx="0">
                  <c:v>44690000</c:v>
                </c:pt>
                <c:pt idx="1">
                  <c:v>103436829</c:v>
                </c:pt>
                <c:pt idx="2">
                  <c:v>37076053</c:v>
                </c:pt>
                <c:pt idx="3">
                  <c:v>39856648</c:v>
                </c:pt>
                <c:pt idx="4">
                  <c:v>38249060</c:v>
                </c:pt>
                <c:pt idx="5">
                  <c:v>22073615</c:v>
                </c:pt>
                <c:pt idx="6">
                  <c:v>30620470</c:v>
                </c:pt>
                <c:pt idx="7">
                  <c:v>33297103</c:v>
                </c:pt>
                <c:pt idx="8">
                  <c:v>25627478</c:v>
                </c:pt>
                <c:pt idx="9">
                  <c:v>11317009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7A4-4324-86CD-ABB113536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Death Rate (%) by Country — Lower is Better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Death%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Dashboard!$B$14:$B$23</c:f>
              <c:strCache>
                <c:ptCount val="10"/>
                <c:pt idx="0">
                  <c:v>India</c:v>
                </c:pt>
                <c:pt idx="1">
                  <c:v>United States</c:v>
                </c:pt>
                <c:pt idx="2">
                  <c:v>Brazil</c:v>
                </c:pt>
                <c:pt idx="3">
                  <c:v>France</c:v>
                </c:pt>
                <c:pt idx="4">
                  <c:v>Germany</c:v>
                </c:pt>
                <c:pt idx="5">
                  <c:v>Russia</c:v>
                </c:pt>
                <c:pt idx="6">
                  <c:v>South Korea</c:v>
                </c:pt>
                <c:pt idx="7">
                  <c:v>Japan</c:v>
                </c:pt>
                <c:pt idx="8">
                  <c:v>Italy</c:v>
                </c:pt>
                <c:pt idx="9">
                  <c:v>Australia</c:v>
                </c:pt>
              </c:strCache>
            </c:strRef>
          </c:cat>
          <c:val>
            <c:numRef>
              <c:f>Dashboard!$H$14:$H$23</c:f>
              <c:numCache>
                <c:formatCode>0.000</c:formatCode>
                <c:ptCount val="10"/>
                <c:pt idx="0">
                  <c:v>1.1876907585589618</c:v>
                </c:pt>
                <c:pt idx="1">
                  <c:v>1.0864950239338833</c:v>
                </c:pt>
                <c:pt idx="2">
                  <c:v>1.8860583676477103</c:v>
                </c:pt>
                <c:pt idx="3">
                  <c:v>0.41139435508977068</c:v>
                </c:pt>
                <c:pt idx="4">
                  <c:v>0.44559264985858477</c:v>
                </c:pt>
                <c:pt idx="5">
                  <c:v>1.7599201580710728</c:v>
                </c:pt>
                <c:pt idx="6">
                  <c:v>0.11106949044217806</c:v>
                </c:pt>
                <c:pt idx="7">
                  <c:v>0.21904007684992896</c:v>
                </c:pt>
                <c:pt idx="8">
                  <c:v>0.74305399852455234</c:v>
                </c:pt>
                <c:pt idx="9">
                  <c:v>0.1755410815702276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F3C-4647-A755-BFEB2009C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9821507"/>
        <c:axId val="498129008"/>
      </c:barChart>
      <c:catAx>
        <c:axId val="11698215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Death Rate (%)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8129008"/>
        <c:crosses val="autoZero"/>
        <c:auto val="1"/>
        <c:lblAlgn val="ctr"/>
        <c:lblOffset val="100"/>
        <c:noMultiLvlLbl val="1"/>
      </c:catAx>
      <c:valAx>
        <c:axId val="4981290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Country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6982150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257175</xdr:colOff>
      <xdr:row>0</xdr:row>
      <xdr:rowOff>285751</xdr:rowOff>
    </xdr:from>
    <xdr:ext cx="3638550" cy="2628900"/>
    <xdr:graphicFrame macro="">
      <xdr:nvGraphicFramePr>
        <xdr:cNvPr id="901229051" name="Chart 1">
          <a:extLst>
            <a:ext uri="{FF2B5EF4-FFF2-40B4-BE49-F238E27FC236}">
              <a16:creationId xmlns:a16="http://schemas.microsoft.com/office/drawing/2014/main" id="{00000000-0008-0000-0300-0000FBA9B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323850</xdr:colOff>
      <xdr:row>24</xdr:row>
      <xdr:rowOff>9526</xdr:rowOff>
    </xdr:from>
    <xdr:ext cx="4352926" cy="2552699"/>
    <xdr:graphicFrame macro="">
      <xdr:nvGraphicFramePr>
        <xdr:cNvPr id="907544791" name="Chart 2">
          <a:extLst>
            <a:ext uri="{FF2B5EF4-FFF2-40B4-BE49-F238E27FC236}">
              <a16:creationId xmlns:a16="http://schemas.microsoft.com/office/drawing/2014/main" id="{00000000-0008-0000-0300-0000D7081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123825</xdr:colOff>
      <xdr:row>24</xdr:row>
      <xdr:rowOff>9526</xdr:rowOff>
    </xdr:from>
    <xdr:ext cx="3924300" cy="2552699"/>
    <xdr:graphicFrame macro="">
      <xdr:nvGraphicFramePr>
        <xdr:cNvPr id="691541057" name="Chart 3">
          <a:extLst>
            <a:ext uri="{FF2B5EF4-FFF2-40B4-BE49-F238E27FC236}">
              <a16:creationId xmlns:a16="http://schemas.microsoft.com/office/drawing/2014/main" id="{00000000-0008-0000-0300-000041143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257176</xdr:colOff>
      <xdr:row>11</xdr:row>
      <xdr:rowOff>57150</xdr:rowOff>
    </xdr:from>
    <xdr:ext cx="3657599" cy="2600325"/>
    <xdr:graphicFrame macro="">
      <xdr:nvGraphicFramePr>
        <xdr:cNvPr id="1043977767" name="Chart 4">
          <a:extLst>
            <a:ext uri="{FF2B5EF4-FFF2-40B4-BE49-F238E27FC236}">
              <a16:creationId xmlns:a16="http://schemas.microsoft.com/office/drawing/2014/main" id="{00000000-0008-0000-0300-000027D63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8"/>
  <sheetViews>
    <sheetView showGridLines="0" workbookViewId="0">
      <selection activeCell="G21" sqref="G21"/>
    </sheetView>
  </sheetViews>
  <sheetFormatPr defaultColWidth="14.44140625" defaultRowHeight="15" customHeight="1"/>
  <cols>
    <col min="1" max="1" width="6.109375" customWidth="1"/>
    <col min="2" max="2" width="20" customWidth="1"/>
    <col min="3" max="6" width="14" customWidth="1"/>
    <col min="7" max="7" width="16" customWidth="1"/>
    <col min="8" max="9" width="14" customWidth="1"/>
    <col min="10" max="26" width="8.6640625" customWidth="1"/>
  </cols>
  <sheetData>
    <row r="1" spans="1:9" ht="36" customHeight="1">
      <c r="A1" s="38" t="s">
        <v>154</v>
      </c>
      <c r="B1" s="39"/>
      <c r="C1" s="39"/>
      <c r="D1" s="39"/>
      <c r="E1" s="39"/>
      <c r="F1" s="39"/>
      <c r="G1" s="39"/>
      <c r="H1" s="39"/>
      <c r="I1" s="40"/>
    </row>
    <row r="2" spans="1:9" ht="30" customHeight="1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2" t="s">
        <v>6</v>
      </c>
      <c r="H2" s="2" t="s">
        <v>7</v>
      </c>
      <c r="I2" s="2" t="s">
        <v>8</v>
      </c>
    </row>
    <row r="3" spans="1:9" ht="18" customHeight="1">
      <c r="A3" s="5">
        <v>1</v>
      </c>
      <c r="B3" s="6" t="s">
        <v>9</v>
      </c>
      <c r="C3" s="5" t="s">
        <v>10</v>
      </c>
      <c r="D3" s="7">
        <v>44690000</v>
      </c>
      <c r="E3" s="7">
        <v>530779</v>
      </c>
      <c r="F3" s="7">
        <v>44100000</v>
      </c>
      <c r="G3" s="5" t="s">
        <v>11</v>
      </c>
      <c r="H3" s="5">
        <v>1380</v>
      </c>
      <c r="I3" s="5" t="s">
        <v>12</v>
      </c>
    </row>
    <row r="4" spans="1:9" ht="18" customHeight="1">
      <c r="A4" s="8">
        <v>2</v>
      </c>
      <c r="B4" s="9" t="s">
        <v>13</v>
      </c>
      <c r="C4" s="8" t="s">
        <v>14</v>
      </c>
      <c r="D4" s="10">
        <v>103436829</v>
      </c>
      <c r="E4" s="10">
        <v>1123836</v>
      </c>
      <c r="F4" s="10">
        <v>101000000</v>
      </c>
      <c r="G4" s="8" t="s">
        <v>11</v>
      </c>
      <c r="H4" s="8">
        <v>331</v>
      </c>
      <c r="I4" s="8" t="s">
        <v>12</v>
      </c>
    </row>
    <row r="5" spans="1:9" ht="18" customHeight="1">
      <c r="A5" s="5">
        <v>3</v>
      </c>
      <c r="B5" s="6" t="s">
        <v>15</v>
      </c>
      <c r="C5" s="5" t="s">
        <v>16</v>
      </c>
      <c r="D5" s="7">
        <v>37076053</v>
      </c>
      <c r="E5" s="7">
        <v>699276</v>
      </c>
      <c r="F5" s="7">
        <v>36200000</v>
      </c>
      <c r="G5" s="5" t="s">
        <v>11</v>
      </c>
      <c r="H5" s="5">
        <v>214</v>
      </c>
      <c r="I5" s="5" t="s">
        <v>12</v>
      </c>
    </row>
    <row r="6" spans="1:9" ht="18" customHeight="1">
      <c r="A6" s="8">
        <v>4</v>
      </c>
      <c r="B6" s="9" t="s">
        <v>17</v>
      </c>
      <c r="C6" s="8" t="s">
        <v>18</v>
      </c>
      <c r="D6" s="10">
        <v>39856648</v>
      </c>
      <c r="E6" s="10">
        <v>163968</v>
      </c>
      <c r="F6" s="10">
        <v>39500000</v>
      </c>
      <c r="G6" s="8" t="s">
        <v>11</v>
      </c>
      <c r="H6" s="8">
        <v>67</v>
      </c>
      <c r="I6" s="8" t="s">
        <v>12</v>
      </c>
    </row>
    <row r="7" spans="1:9" ht="18" customHeight="1">
      <c r="A7" s="5">
        <v>5</v>
      </c>
      <c r="B7" s="6" t="s">
        <v>19</v>
      </c>
      <c r="C7" s="5" t="s">
        <v>18</v>
      </c>
      <c r="D7" s="7">
        <v>38249060</v>
      </c>
      <c r="E7" s="7">
        <v>170435</v>
      </c>
      <c r="F7" s="7">
        <v>38000000</v>
      </c>
      <c r="G7" s="5" t="s">
        <v>11</v>
      </c>
      <c r="H7" s="5">
        <v>83</v>
      </c>
      <c r="I7" s="5" t="s">
        <v>12</v>
      </c>
    </row>
    <row r="8" spans="1:9" ht="18" customHeight="1">
      <c r="A8" s="8">
        <v>6</v>
      </c>
      <c r="B8" s="9" t="s">
        <v>20</v>
      </c>
      <c r="C8" s="8" t="s">
        <v>18</v>
      </c>
      <c r="D8" s="10">
        <v>22073615</v>
      </c>
      <c r="E8" s="10">
        <v>388478</v>
      </c>
      <c r="F8" s="10">
        <v>21500000</v>
      </c>
      <c r="G8" s="8" t="s">
        <v>11</v>
      </c>
      <c r="H8" s="8">
        <v>144</v>
      </c>
      <c r="I8" s="8" t="s">
        <v>12</v>
      </c>
    </row>
    <row r="9" spans="1:9" ht="18" customHeight="1">
      <c r="A9" s="5">
        <v>7</v>
      </c>
      <c r="B9" s="6" t="s">
        <v>21</v>
      </c>
      <c r="C9" s="5" t="s">
        <v>22</v>
      </c>
      <c r="D9" s="7">
        <v>30620470</v>
      </c>
      <c r="E9" s="7">
        <v>34010</v>
      </c>
      <c r="F9" s="7">
        <v>30500000</v>
      </c>
      <c r="G9" s="5" t="s">
        <v>11</v>
      </c>
      <c r="H9" s="5">
        <v>52</v>
      </c>
      <c r="I9" s="5" t="s">
        <v>12</v>
      </c>
    </row>
    <row r="10" spans="1:9" ht="18" customHeight="1">
      <c r="A10" s="8">
        <v>8</v>
      </c>
      <c r="B10" s="9" t="s">
        <v>23</v>
      </c>
      <c r="C10" s="8" t="s">
        <v>22</v>
      </c>
      <c r="D10" s="10">
        <v>33297103</v>
      </c>
      <c r="E10" s="10">
        <v>72934</v>
      </c>
      <c r="F10" s="10">
        <v>32900000</v>
      </c>
      <c r="G10" s="8" t="s">
        <v>11</v>
      </c>
      <c r="H10" s="8">
        <v>126</v>
      </c>
      <c r="I10" s="8" t="s">
        <v>12</v>
      </c>
    </row>
    <row r="11" spans="1:9" ht="18" customHeight="1">
      <c r="A11" s="5">
        <v>9</v>
      </c>
      <c r="B11" s="6" t="s">
        <v>24</v>
      </c>
      <c r="C11" s="5" t="s">
        <v>25</v>
      </c>
      <c r="D11" s="7">
        <v>25627478</v>
      </c>
      <c r="E11" s="7">
        <v>190426</v>
      </c>
      <c r="F11" s="7">
        <v>25300000</v>
      </c>
      <c r="G11" s="5" t="s">
        <v>11</v>
      </c>
      <c r="H11" s="5">
        <v>60</v>
      </c>
      <c r="I11" s="5" t="s">
        <v>12</v>
      </c>
    </row>
    <row r="12" spans="1:9" ht="18" customHeight="1">
      <c r="A12" s="8">
        <v>10</v>
      </c>
      <c r="B12" s="9" t="s">
        <v>26</v>
      </c>
      <c r="C12" s="8" t="s">
        <v>27</v>
      </c>
      <c r="D12" s="10">
        <v>11317009</v>
      </c>
      <c r="E12" s="10">
        <v>19866</v>
      </c>
      <c r="F12" s="10">
        <v>11200000</v>
      </c>
      <c r="G12" s="8" t="s">
        <v>11</v>
      </c>
      <c r="H12" s="8">
        <v>26</v>
      </c>
      <c r="I12" s="8" t="s">
        <v>12</v>
      </c>
    </row>
    <row r="13" spans="1:9" ht="14.4">
      <c r="A13" s="1" t="s">
        <v>28</v>
      </c>
      <c r="B13" s="1" t="s">
        <v>29</v>
      </c>
      <c r="C13" s="11" t="s">
        <v>30</v>
      </c>
      <c r="D13" s="12">
        <f t="shared" ref="D13:F13" si="0">SUM(D3:D12)</f>
        <v>386244265</v>
      </c>
      <c r="E13" s="12">
        <f t="shared" si="0"/>
        <v>3394008</v>
      </c>
      <c r="F13" s="12">
        <f t="shared" si="0"/>
        <v>380200000</v>
      </c>
      <c r="G13" s="11" t="s">
        <v>30</v>
      </c>
      <c r="H13" s="11" t="s">
        <v>30</v>
      </c>
      <c r="I13" s="11" t="s">
        <v>30</v>
      </c>
    </row>
    <row r="14" spans="1:9" ht="25.5" customHeight="1">
      <c r="A14" s="41" t="s">
        <v>31</v>
      </c>
      <c r="B14" s="42"/>
      <c r="C14" s="42"/>
      <c r="D14" s="42"/>
      <c r="E14" s="42"/>
      <c r="F14" s="42"/>
      <c r="G14" s="42"/>
      <c r="H14" s="42"/>
      <c r="I14" s="43"/>
    </row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2">
    <mergeCell ref="A1:I1"/>
    <mergeCell ref="A14:I14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showGridLines="0" workbookViewId="0">
      <selection activeCell="B35" sqref="B35"/>
    </sheetView>
  </sheetViews>
  <sheetFormatPr defaultColWidth="14.44140625" defaultRowHeight="15" customHeight="1"/>
  <cols>
    <col min="1" max="1" width="5" customWidth="1"/>
    <col min="2" max="2" width="22" customWidth="1"/>
    <col min="3" max="3" width="18" customWidth="1"/>
    <col min="4" max="5" width="16" customWidth="1"/>
    <col min="6" max="7" width="18" customWidth="1"/>
    <col min="8" max="9" width="16" customWidth="1"/>
    <col min="10" max="26" width="8.6640625" customWidth="1"/>
  </cols>
  <sheetData>
    <row r="1" spans="1:9" ht="36" customHeight="1">
      <c r="A1" s="38" t="s">
        <v>32</v>
      </c>
      <c r="B1" s="39"/>
      <c r="C1" s="39"/>
      <c r="D1" s="39"/>
      <c r="E1" s="39"/>
      <c r="F1" s="39"/>
      <c r="G1" s="39"/>
      <c r="H1" s="39"/>
      <c r="I1" s="40"/>
    </row>
    <row r="2" spans="1:9" ht="27.75" customHeight="1">
      <c r="A2" s="45" t="s">
        <v>33</v>
      </c>
      <c r="B2" s="39"/>
      <c r="C2" s="39"/>
      <c r="D2" s="39"/>
      <c r="E2" s="39"/>
      <c r="F2" s="39"/>
      <c r="G2" s="39"/>
      <c r="H2" s="39"/>
      <c r="I2" s="40"/>
    </row>
    <row r="3" spans="1:9" ht="14.25" customHeight="1"/>
    <row r="4" spans="1:9" ht="21.75" customHeight="1">
      <c r="A4" s="46" t="s">
        <v>34</v>
      </c>
      <c r="B4" s="39"/>
      <c r="C4" s="39"/>
      <c r="D4" s="39"/>
      <c r="E4" s="39"/>
      <c r="F4" s="39"/>
      <c r="G4" s="39"/>
      <c r="H4" s="39"/>
      <c r="I4" s="40"/>
    </row>
    <row r="5" spans="1:9" ht="31.5" customHeight="1">
      <c r="A5" s="4" t="s">
        <v>0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</row>
    <row r="6" spans="1:9" ht="18" customHeight="1">
      <c r="A6" s="5">
        <v>1</v>
      </c>
      <c r="B6" s="13" t="str">
        <f>'Raw Data'!B3</f>
        <v xml:space="preserve">  INDIA  </v>
      </c>
      <c r="C6" s="14" t="str">
        <f>PROPER(TRIM('Raw Data'!B3))</f>
        <v>India</v>
      </c>
      <c r="D6" s="13" t="str">
        <f>'Raw Data'!C3</f>
        <v>asia</v>
      </c>
      <c r="E6" s="14" t="str">
        <f>PROPER(TRIM('Raw Data'!C3))</f>
        <v>Asia</v>
      </c>
      <c r="F6" s="5" t="str">
        <f t="shared" ref="F6:F15" si="0">IF(C6=B6,"Same","Fixed!")</f>
        <v>Fixed!</v>
      </c>
      <c r="G6" s="15" t="str">
        <f>IF(C6=PROPER(TRIM('Raw Data'!B3)),"✔ Clean","⚠ Check")</f>
        <v>✔ Clean</v>
      </c>
    </row>
    <row r="7" spans="1:9" ht="18" customHeight="1">
      <c r="A7" s="8">
        <v>2</v>
      </c>
      <c r="B7" s="13" t="str">
        <f>'Raw Data'!B4</f>
        <v>united states</v>
      </c>
      <c r="C7" s="14" t="str">
        <f>PROPER(TRIM('Raw Data'!B4))</f>
        <v>United States</v>
      </c>
      <c r="D7" s="13" t="str">
        <f>'Raw Data'!C4</f>
        <v>North America</v>
      </c>
      <c r="E7" s="14" t="str">
        <f>PROPER(TRIM('Raw Data'!C4))</f>
        <v>North America</v>
      </c>
      <c r="F7" s="8" t="str">
        <f t="shared" si="0"/>
        <v>Same</v>
      </c>
      <c r="G7" s="15" t="str">
        <f>IF(C7=PROPER(TRIM('Raw Data'!B4)),"✔ Clean","⚠ Check")</f>
        <v>✔ Clean</v>
      </c>
    </row>
    <row r="8" spans="1:9" ht="18" customHeight="1">
      <c r="A8" s="5">
        <v>3</v>
      </c>
      <c r="B8" s="13" t="str">
        <f>'Raw Data'!B5</f>
        <v xml:space="preserve">BRAZIL  </v>
      </c>
      <c r="C8" s="14" t="str">
        <f>PROPER(TRIM('Raw Data'!B5))</f>
        <v>Brazil</v>
      </c>
      <c r="D8" s="13" t="str">
        <f>'Raw Data'!C5</f>
        <v>south america</v>
      </c>
      <c r="E8" s="14" t="str">
        <f>PROPER(TRIM('Raw Data'!C5))</f>
        <v>South America</v>
      </c>
      <c r="F8" s="5" t="str">
        <f t="shared" si="0"/>
        <v>Fixed!</v>
      </c>
      <c r="G8" s="15" t="str">
        <f>IF(C8=PROPER(TRIM('Raw Data'!B5)),"✔ Clean","⚠ Check")</f>
        <v>✔ Clean</v>
      </c>
    </row>
    <row r="9" spans="1:9" ht="18" customHeight="1">
      <c r="A9" s="8">
        <v>4</v>
      </c>
      <c r="B9" s="13" t="str">
        <f>'Raw Data'!B6</f>
        <v>france</v>
      </c>
      <c r="C9" s="14" t="str">
        <f>PROPER(TRIM('Raw Data'!B6))</f>
        <v>France</v>
      </c>
      <c r="D9" s="13" t="str">
        <f>'Raw Data'!C6</f>
        <v>Europe</v>
      </c>
      <c r="E9" s="14" t="str">
        <f>PROPER(TRIM('Raw Data'!C6))</f>
        <v>Europe</v>
      </c>
      <c r="F9" s="8" t="str">
        <f t="shared" si="0"/>
        <v>Same</v>
      </c>
      <c r="G9" s="15" t="str">
        <f>IF(C9=PROPER(TRIM('Raw Data'!B6)),"✔ Clean","⚠ Check")</f>
        <v>✔ Clean</v>
      </c>
    </row>
    <row r="10" spans="1:9" ht="18" customHeight="1">
      <c r="A10" s="5">
        <v>5</v>
      </c>
      <c r="B10" s="13" t="str">
        <f>'Raw Data'!B7</f>
        <v xml:space="preserve">  Germany</v>
      </c>
      <c r="C10" s="14" t="str">
        <f>PROPER(TRIM('Raw Data'!B7))</f>
        <v>Germany</v>
      </c>
      <c r="D10" s="13" t="str">
        <f>'Raw Data'!C7</f>
        <v>Europe</v>
      </c>
      <c r="E10" s="14" t="str">
        <f>PROPER(TRIM('Raw Data'!C7))</f>
        <v>Europe</v>
      </c>
      <c r="F10" s="5" t="str">
        <f t="shared" si="0"/>
        <v>Fixed!</v>
      </c>
      <c r="G10" s="15" t="str">
        <f>IF(C10=PROPER(TRIM('Raw Data'!B7)),"✔ Clean","⚠ Check")</f>
        <v>✔ Clean</v>
      </c>
    </row>
    <row r="11" spans="1:9" ht="18" customHeight="1">
      <c r="A11" s="8">
        <v>6</v>
      </c>
      <c r="B11" s="13" t="str">
        <f>'Raw Data'!B8</f>
        <v>RUSSIA</v>
      </c>
      <c r="C11" s="14" t="str">
        <f>PROPER(TRIM('Raw Data'!B8))</f>
        <v>Russia</v>
      </c>
      <c r="D11" s="13" t="str">
        <f>'Raw Data'!C8</f>
        <v>Europe</v>
      </c>
      <c r="E11" s="14" t="str">
        <f>PROPER(TRIM('Raw Data'!C8))</f>
        <v>Europe</v>
      </c>
      <c r="F11" s="8" t="str">
        <f t="shared" si="0"/>
        <v>Same</v>
      </c>
      <c r="G11" s="15" t="str">
        <f>IF(C11=PROPER(TRIM('Raw Data'!B8)),"✔ Clean","⚠ Check")</f>
        <v>✔ Clean</v>
      </c>
    </row>
    <row r="12" spans="1:9" ht="18" customHeight="1">
      <c r="A12" s="5">
        <v>7</v>
      </c>
      <c r="B12" s="13" t="str">
        <f>'Raw Data'!B9</f>
        <v>south korea</v>
      </c>
      <c r="C12" s="14" t="str">
        <f>PROPER(TRIM('Raw Data'!B9))</f>
        <v>South Korea</v>
      </c>
      <c r="D12" s="13" t="str">
        <f>'Raw Data'!C9</f>
        <v>Asia</v>
      </c>
      <c r="E12" s="14" t="str">
        <f>PROPER(TRIM('Raw Data'!C9))</f>
        <v>Asia</v>
      </c>
      <c r="F12" s="5" t="str">
        <f t="shared" si="0"/>
        <v>Same</v>
      </c>
      <c r="G12" s="15" t="str">
        <f>IF(C12=PROPER(TRIM('Raw Data'!B9)),"✔ Clean","⚠ Check")</f>
        <v>✔ Clean</v>
      </c>
    </row>
    <row r="13" spans="1:9" ht="18" customHeight="1">
      <c r="A13" s="8">
        <v>8</v>
      </c>
      <c r="B13" s="13" t="str">
        <f>'Raw Data'!B10</f>
        <v>JAPAN</v>
      </c>
      <c r="C13" s="14" t="str">
        <f>PROPER(TRIM('Raw Data'!B10))</f>
        <v>Japan</v>
      </c>
      <c r="D13" s="13" t="str">
        <f>'Raw Data'!C10</f>
        <v>Asia</v>
      </c>
      <c r="E13" s="14" t="str">
        <f>PROPER(TRIM('Raw Data'!C10))</f>
        <v>Asia</v>
      </c>
      <c r="F13" s="8" t="str">
        <f t="shared" si="0"/>
        <v>Same</v>
      </c>
      <c r="G13" s="15" t="str">
        <f>IF(C13=PROPER(TRIM('Raw Data'!B10)),"✔ Clean","⚠ Check")</f>
        <v>✔ Clean</v>
      </c>
    </row>
    <row r="14" spans="1:9" ht="18" customHeight="1">
      <c r="A14" s="5">
        <v>9</v>
      </c>
      <c r="B14" s="13" t="str">
        <f>'Raw Data'!B11</f>
        <v xml:space="preserve">  italy  </v>
      </c>
      <c r="C14" s="14" t="str">
        <f>PROPER(TRIM('Raw Data'!B11))</f>
        <v>Italy</v>
      </c>
      <c r="D14" s="13" t="str">
        <f>'Raw Data'!C11</f>
        <v>europe</v>
      </c>
      <c r="E14" s="14" t="str">
        <f>PROPER(TRIM('Raw Data'!C11))</f>
        <v>Europe</v>
      </c>
      <c r="F14" s="5" t="str">
        <f t="shared" si="0"/>
        <v>Fixed!</v>
      </c>
      <c r="G14" s="15" t="str">
        <f>IF(C14=PROPER(TRIM('Raw Data'!B11)),"✔ Clean","⚠ Check")</f>
        <v>✔ Clean</v>
      </c>
    </row>
    <row r="15" spans="1:9" ht="18" customHeight="1">
      <c r="A15" s="8">
        <v>10</v>
      </c>
      <c r="B15" s="13" t="str">
        <f>'Raw Data'!B12</f>
        <v>Australia</v>
      </c>
      <c r="C15" s="14" t="str">
        <f>PROPER(TRIM('Raw Data'!B12))</f>
        <v>Australia</v>
      </c>
      <c r="D15" s="13" t="str">
        <f>'Raw Data'!C12</f>
        <v>Oceania</v>
      </c>
      <c r="E15" s="14" t="str">
        <f>PROPER(TRIM('Raw Data'!C12))</f>
        <v>Oceania</v>
      </c>
      <c r="F15" s="8" t="str">
        <f t="shared" si="0"/>
        <v>Same</v>
      </c>
      <c r="G15" s="15" t="str">
        <f>IF(C15=PROPER(TRIM('Raw Data'!B12)),"✔ Clean","⚠ Check")</f>
        <v>✔ Clean</v>
      </c>
    </row>
    <row r="16" spans="1:9" ht="14.25" customHeight="1"/>
    <row r="17" spans="1:9" ht="21.75" customHeight="1">
      <c r="A17" s="47" t="s">
        <v>41</v>
      </c>
      <c r="B17" s="39"/>
      <c r="C17" s="39"/>
      <c r="D17" s="39"/>
      <c r="E17" s="39"/>
      <c r="F17" s="39"/>
      <c r="G17" s="39"/>
      <c r="H17" s="39"/>
      <c r="I17" s="40"/>
    </row>
    <row r="18" spans="1:9" ht="31.5" customHeight="1">
      <c r="A18" s="16" t="s">
        <v>0</v>
      </c>
      <c r="B18" s="16" t="s">
        <v>1</v>
      </c>
      <c r="C18" s="16" t="s">
        <v>3</v>
      </c>
      <c r="D18" s="16" t="s">
        <v>4</v>
      </c>
      <c r="E18" s="16" t="s">
        <v>5</v>
      </c>
      <c r="F18" s="16" t="s">
        <v>42</v>
      </c>
      <c r="G18" s="16" t="s">
        <v>43</v>
      </c>
      <c r="H18" s="16" t="s">
        <v>44</v>
      </c>
      <c r="I18" s="16" t="s">
        <v>45</v>
      </c>
    </row>
    <row r="19" spans="1:9" ht="18" customHeight="1">
      <c r="A19" s="5">
        <v>1</v>
      </c>
      <c r="B19" s="6" t="str">
        <f>PROPER(TRIM('Raw Data'!B3))</f>
        <v>India</v>
      </c>
      <c r="C19" s="7">
        <f>'Raw Data'!D3</f>
        <v>44690000</v>
      </c>
      <c r="D19" s="7">
        <f>'Raw Data'!E3</f>
        <v>530779</v>
      </c>
      <c r="E19" s="7">
        <f>'Raw Data'!F3</f>
        <v>44100000</v>
      </c>
      <c r="F19" s="17">
        <f>IFERROR('Raw Data'!D3,0)</f>
        <v>44690000</v>
      </c>
      <c r="G19" s="17">
        <f>IFERROR('Raw Data'!E3,0)</f>
        <v>530779</v>
      </c>
      <c r="H19" s="18" t="str">
        <f>IF(AND('Raw Data'!D3&gt;0,'Raw Data'!E3&gt;0),"✔ Valid","⚠ Check")</f>
        <v>✔ Valid</v>
      </c>
      <c r="I19" s="19" t="str">
        <f>IF('Raw Data'!D3&gt;1000000,"Large Dataset","Small Dataset")</f>
        <v>Large Dataset</v>
      </c>
    </row>
    <row r="20" spans="1:9" ht="18" customHeight="1">
      <c r="A20" s="8">
        <v>2</v>
      </c>
      <c r="B20" s="9" t="str">
        <f>PROPER(TRIM('Raw Data'!B4))</f>
        <v>United States</v>
      </c>
      <c r="C20" s="10">
        <f>'Raw Data'!D4</f>
        <v>103436829</v>
      </c>
      <c r="D20" s="10">
        <f>'Raw Data'!E4</f>
        <v>1123836</v>
      </c>
      <c r="E20" s="10">
        <f>'Raw Data'!F4</f>
        <v>101000000</v>
      </c>
      <c r="F20" s="17">
        <f>IFERROR('Raw Data'!D4,0)</f>
        <v>103436829</v>
      </c>
      <c r="G20" s="17">
        <f>IFERROR('Raw Data'!E4,0)</f>
        <v>1123836</v>
      </c>
      <c r="H20" s="18" t="str">
        <f>IF(AND('Raw Data'!D4&gt;0,'Raw Data'!E4&gt;0),"✔ Valid","⚠ Check")</f>
        <v>✔ Valid</v>
      </c>
      <c r="I20" s="20" t="str">
        <f>IF('Raw Data'!D4&gt;1000000,"Large Dataset","Small Dataset")</f>
        <v>Large Dataset</v>
      </c>
    </row>
    <row r="21" spans="1:9" ht="18" customHeight="1">
      <c r="A21" s="5">
        <v>3</v>
      </c>
      <c r="B21" s="6" t="str">
        <f>PROPER(TRIM('Raw Data'!B5))</f>
        <v>Brazil</v>
      </c>
      <c r="C21" s="7">
        <f>'Raw Data'!D5</f>
        <v>37076053</v>
      </c>
      <c r="D21" s="7">
        <f>'Raw Data'!E5</f>
        <v>699276</v>
      </c>
      <c r="E21" s="7">
        <f>'Raw Data'!F5</f>
        <v>36200000</v>
      </c>
      <c r="F21" s="17">
        <f>IFERROR('Raw Data'!D5,0)</f>
        <v>37076053</v>
      </c>
      <c r="G21" s="17">
        <f>IFERROR('Raw Data'!E5,0)</f>
        <v>699276</v>
      </c>
      <c r="H21" s="18" t="str">
        <f>IF(AND('Raw Data'!D5&gt;0,'Raw Data'!E5&gt;0),"✔ Valid","⚠ Check")</f>
        <v>✔ Valid</v>
      </c>
      <c r="I21" s="19" t="str">
        <f>IF('Raw Data'!D5&gt;1000000,"Large Dataset","Small Dataset")</f>
        <v>Large Dataset</v>
      </c>
    </row>
    <row r="22" spans="1:9" ht="18" customHeight="1">
      <c r="A22" s="8">
        <v>4</v>
      </c>
      <c r="B22" s="9" t="str">
        <f>PROPER(TRIM('Raw Data'!B6))</f>
        <v>France</v>
      </c>
      <c r="C22" s="10">
        <f>'Raw Data'!D6</f>
        <v>39856648</v>
      </c>
      <c r="D22" s="10">
        <f>'Raw Data'!E6</f>
        <v>163968</v>
      </c>
      <c r="E22" s="10">
        <f>'Raw Data'!F6</f>
        <v>39500000</v>
      </c>
      <c r="F22" s="17">
        <f>IFERROR('Raw Data'!D6,0)</f>
        <v>39856648</v>
      </c>
      <c r="G22" s="17">
        <f>IFERROR('Raw Data'!E6,0)</f>
        <v>163968</v>
      </c>
      <c r="H22" s="18" t="str">
        <f>IF(AND('Raw Data'!D6&gt;0,'Raw Data'!E6&gt;0),"✔ Valid","⚠ Check")</f>
        <v>✔ Valid</v>
      </c>
      <c r="I22" s="20" t="str">
        <f>IF('Raw Data'!D6&gt;1000000,"Large Dataset","Small Dataset")</f>
        <v>Large Dataset</v>
      </c>
    </row>
    <row r="23" spans="1:9" ht="18" customHeight="1">
      <c r="A23" s="5">
        <v>5</v>
      </c>
      <c r="B23" s="6" t="str">
        <f>PROPER(TRIM('Raw Data'!B7))</f>
        <v>Germany</v>
      </c>
      <c r="C23" s="7">
        <f>'Raw Data'!D7</f>
        <v>38249060</v>
      </c>
      <c r="D23" s="7">
        <f>'Raw Data'!E7</f>
        <v>170435</v>
      </c>
      <c r="E23" s="7">
        <f>'Raw Data'!F7</f>
        <v>38000000</v>
      </c>
      <c r="F23" s="17">
        <f>IFERROR('Raw Data'!D7,0)</f>
        <v>38249060</v>
      </c>
      <c r="G23" s="17">
        <f>IFERROR('Raw Data'!E7,0)</f>
        <v>170435</v>
      </c>
      <c r="H23" s="18" t="str">
        <f>IF(AND('Raw Data'!D7&gt;0,'Raw Data'!E7&gt;0),"✔ Valid","⚠ Check")</f>
        <v>✔ Valid</v>
      </c>
      <c r="I23" s="19" t="str">
        <f>IF('Raw Data'!D7&gt;1000000,"Large Dataset","Small Dataset")</f>
        <v>Large Dataset</v>
      </c>
    </row>
    <row r="24" spans="1:9" ht="18" customHeight="1">
      <c r="A24" s="8">
        <v>6</v>
      </c>
      <c r="B24" s="9" t="str">
        <f>PROPER(TRIM('Raw Data'!B8))</f>
        <v>Russia</v>
      </c>
      <c r="C24" s="10">
        <f>'Raw Data'!D8</f>
        <v>22073615</v>
      </c>
      <c r="D24" s="10">
        <f>'Raw Data'!E8</f>
        <v>388478</v>
      </c>
      <c r="E24" s="10">
        <f>'Raw Data'!F8</f>
        <v>21500000</v>
      </c>
      <c r="F24" s="17">
        <f>IFERROR('Raw Data'!D8,0)</f>
        <v>22073615</v>
      </c>
      <c r="G24" s="17">
        <f>IFERROR('Raw Data'!E8,0)</f>
        <v>388478</v>
      </c>
      <c r="H24" s="18" t="str">
        <f>IF(AND('Raw Data'!D8&gt;0,'Raw Data'!E8&gt;0),"✔ Valid","⚠ Check")</f>
        <v>✔ Valid</v>
      </c>
      <c r="I24" s="20" t="str">
        <f>IF('Raw Data'!D8&gt;1000000,"Large Dataset","Small Dataset")</f>
        <v>Large Dataset</v>
      </c>
    </row>
    <row r="25" spans="1:9" ht="18" customHeight="1">
      <c r="A25" s="5">
        <v>7</v>
      </c>
      <c r="B25" s="6" t="str">
        <f>PROPER(TRIM('Raw Data'!B9))</f>
        <v>South Korea</v>
      </c>
      <c r="C25" s="7">
        <f>'Raw Data'!D9</f>
        <v>30620470</v>
      </c>
      <c r="D25" s="7">
        <f>'Raw Data'!E9</f>
        <v>34010</v>
      </c>
      <c r="E25" s="7">
        <f>'Raw Data'!F9</f>
        <v>30500000</v>
      </c>
      <c r="F25" s="17">
        <f>IFERROR('Raw Data'!D9,0)</f>
        <v>30620470</v>
      </c>
      <c r="G25" s="17">
        <f>IFERROR('Raw Data'!E9,0)</f>
        <v>34010</v>
      </c>
      <c r="H25" s="18" t="str">
        <f>IF(AND('Raw Data'!D9&gt;0,'Raw Data'!E9&gt;0),"✔ Valid","⚠ Check")</f>
        <v>✔ Valid</v>
      </c>
      <c r="I25" s="19" t="str">
        <f>IF('Raw Data'!D9&gt;1000000,"Large Dataset","Small Dataset")</f>
        <v>Large Dataset</v>
      </c>
    </row>
    <row r="26" spans="1:9" ht="18" customHeight="1">
      <c r="A26" s="8">
        <v>8</v>
      </c>
      <c r="B26" s="9" t="str">
        <f>PROPER(TRIM('Raw Data'!B10))</f>
        <v>Japan</v>
      </c>
      <c r="C26" s="10">
        <f>'Raw Data'!D10</f>
        <v>33297103</v>
      </c>
      <c r="D26" s="10">
        <f>'Raw Data'!E10</f>
        <v>72934</v>
      </c>
      <c r="E26" s="10">
        <f>'Raw Data'!F10</f>
        <v>32900000</v>
      </c>
      <c r="F26" s="17">
        <f>IFERROR('Raw Data'!D10,0)</f>
        <v>33297103</v>
      </c>
      <c r="G26" s="17">
        <f>IFERROR('Raw Data'!E10,0)</f>
        <v>72934</v>
      </c>
      <c r="H26" s="18" t="str">
        <f>IF(AND('Raw Data'!D10&gt;0,'Raw Data'!E10&gt;0),"✔ Valid","⚠ Check")</f>
        <v>✔ Valid</v>
      </c>
      <c r="I26" s="20" t="str">
        <f>IF('Raw Data'!D10&gt;1000000,"Large Dataset","Small Dataset")</f>
        <v>Large Dataset</v>
      </c>
    </row>
    <row r="27" spans="1:9" ht="18" customHeight="1">
      <c r="A27" s="5">
        <v>9</v>
      </c>
      <c r="B27" s="6" t="str">
        <f>PROPER(TRIM('Raw Data'!B11))</f>
        <v>Italy</v>
      </c>
      <c r="C27" s="7">
        <f>'Raw Data'!D11</f>
        <v>25627478</v>
      </c>
      <c r="D27" s="7">
        <f>'Raw Data'!E11</f>
        <v>190426</v>
      </c>
      <c r="E27" s="7">
        <f>'Raw Data'!F11</f>
        <v>25300000</v>
      </c>
      <c r="F27" s="17">
        <f>IFERROR('Raw Data'!D11,0)</f>
        <v>25627478</v>
      </c>
      <c r="G27" s="17">
        <f>IFERROR('Raw Data'!E11,0)</f>
        <v>190426</v>
      </c>
      <c r="H27" s="18" t="str">
        <f>IF(AND('Raw Data'!D11&gt;0,'Raw Data'!E11&gt;0),"✔ Valid","⚠ Check")</f>
        <v>✔ Valid</v>
      </c>
      <c r="I27" s="19" t="str">
        <f>IF('Raw Data'!D11&gt;1000000,"Large Dataset","Small Dataset")</f>
        <v>Large Dataset</v>
      </c>
    </row>
    <row r="28" spans="1:9" ht="18" customHeight="1">
      <c r="A28" s="8">
        <v>10</v>
      </c>
      <c r="B28" s="9" t="str">
        <f>PROPER(TRIM('Raw Data'!B12))</f>
        <v>Australia</v>
      </c>
      <c r="C28" s="10">
        <f>'Raw Data'!D12</f>
        <v>11317009</v>
      </c>
      <c r="D28" s="10">
        <f>'Raw Data'!E12</f>
        <v>19866</v>
      </c>
      <c r="E28" s="10">
        <f>'Raw Data'!F12</f>
        <v>11200000</v>
      </c>
      <c r="F28" s="17">
        <f>IFERROR('Raw Data'!D12,0)</f>
        <v>11317009</v>
      </c>
      <c r="G28" s="17">
        <f>IFERROR('Raw Data'!E12,0)</f>
        <v>19866</v>
      </c>
      <c r="H28" s="18" t="str">
        <f>IF(AND('Raw Data'!D12&gt;0,'Raw Data'!E12&gt;0),"✔ Valid","⚠ Check")</f>
        <v>✔ Valid</v>
      </c>
      <c r="I28" s="20" t="str">
        <f>IF('Raw Data'!D12&gt;1000000,"Large Dataset","Small Dataset")</f>
        <v>Large Dataset</v>
      </c>
    </row>
    <row r="29" spans="1:9" ht="14.25" customHeight="1"/>
    <row r="30" spans="1:9" ht="25.5" customHeight="1">
      <c r="A30" s="44" t="s">
        <v>155</v>
      </c>
      <c r="B30" s="42"/>
      <c r="C30" s="42"/>
      <c r="D30" s="42"/>
      <c r="E30" s="42"/>
      <c r="F30" s="42"/>
      <c r="G30" s="42"/>
      <c r="H30" s="42"/>
      <c r="I30" s="43"/>
    </row>
    <row r="31" spans="1:9" ht="25.5" customHeight="1">
      <c r="A31" s="44" t="s">
        <v>156</v>
      </c>
      <c r="B31" s="42"/>
      <c r="C31" s="42"/>
      <c r="D31" s="42"/>
      <c r="E31" s="42"/>
      <c r="F31" s="42"/>
      <c r="G31" s="42"/>
      <c r="H31" s="42"/>
      <c r="I31" s="43"/>
    </row>
    <row r="32" spans="1:9" ht="25.5" customHeight="1">
      <c r="A32" s="44" t="s">
        <v>158</v>
      </c>
      <c r="B32" s="42"/>
      <c r="C32" s="42"/>
      <c r="D32" s="42"/>
      <c r="E32" s="42"/>
      <c r="F32" s="42"/>
      <c r="G32" s="42"/>
      <c r="H32" s="42"/>
      <c r="I32" s="43"/>
    </row>
    <row r="33" spans="1:9" ht="25.5" customHeight="1">
      <c r="A33" s="44" t="s">
        <v>157</v>
      </c>
      <c r="B33" s="42"/>
      <c r="C33" s="42"/>
      <c r="D33" s="42"/>
      <c r="E33" s="42"/>
      <c r="F33" s="42"/>
      <c r="G33" s="42"/>
      <c r="H33" s="42"/>
      <c r="I33" s="43"/>
    </row>
    <row r="34" spans="1:9" ht="14.25" customHeight="1"/>
    <row r="35" spans="1:9" ht="14.25" customHeight="1"/>
    <row r="36" spans="1:9" ht="14.25" customHeight="1"/>
    <row r="37" spans="1:9" ht="14.25" customHeight="1"/>
    <row r="38" spans="1:9" ht="14.25" customHeight="1"/>
    <row r="39" spans="1:9" ht="14.25" customHeight="1"/>
    <row r="40" spans="1:9" ht="14.25" customHeight="1"/>
    <row r="41" spans="1:9" ht="14.25" customHeight="1"/>
    <row r="42" spans="1:9" ht="14.25" customHeight="1"/>
    <row r="43" spans="1:9" ht="14.25" customHeight="1"/>
    <row r="44" spans="1:9" ht="14.25" customHeight="1"/>
    <row r="45" spans="1:9" ht="14.25" customHeight="1"/>
    <row r="46" spans="1:9" ht="14.25" customHeight="1"/>
    <row r="47" spans="1:9" ht="14.25" customHeight="1"/>
    <row r="48" spans="1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31:I31"/>
    <mergeCell ref="A32:I32"/>
    <mergeCell ref="A33:I33"/>
    <mergeCell ref="A1:I1"/>
    <mergeCell ref="A2:I2"/>
    <mergeCell ref="A4:I4"/>
    <mergeCell ref="A17:I17"/>
    <mergeCell ref="A30:I30"/>
  </mergeCells>
  <pageMargins left="0.75" right="0.75" top="1" bottom="1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showGridLines="0" tabSelected="1" workbookViewId="0">
      <selection activeCell="J20" sqref="J20"/>
    </sheetView>
  </sheetViews>
  <sheetFormatPr defaultColWidth="14.44140625" defaultRowHeight="15" customHeight="1"/>
  <cols>
    <col min="1" max="1" width="8.109375" customWidth="1"/>
    <col min="2" max="2" width="18" customWidth="1"/>
    <col min="3" max="6" width="13" customWidth="1"/>
    <col min="7" max="8" width="14" customWidth="1"/>
    <col min="9" max="9" width="12" customWidth="1"/>
    <col min="10" max="10" width="14" customWidth="1"/>
    <col min="11" max="11" width="16" customWidth="1"/>
    <col min="12" max="26" width="8.6640625" customWidth="1"/>
  </cols>
  <sheetData>
    <row r="1" spans="1:11" ht="36" customHeight="1">
      <c r="A1" s="38" t="s">
        <v>46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1" ht="27.75" customHeight="1">
      <c r="A2" s="45" t="s">
        <v>47</v>
      </c>
      <c r="B2" s="39"/>
      <c r="C2" s="39"/>
      <c r="D2" s="39"/>
      <c r="E2" s="39"/>
      <c r="F2" s="39"/>
      <c r="G2" s="39"/>
      <c r="H2" s="39"/>
      <c r="I2" s="39"/>
      <c r="J2" s="39"/>
      <c r="K2" s="40"/>
    </row>
    <row r="3" spans="1:11" ht="39.75" customHeight="1">
      <c r="A3" s="1" t="s">
        <v>0</v>
      </c>
      <c r="B3" s="1" t="s">
        <v>1</v>
      </c>
      <c r="C3" s="3" t="s">
        <v>3</v>
      </c>
      <c r="D3" s="3" t="s">
        <v>4</v>
      </c>
      <c r="E3" s="4" t="s">
        <v>5</v>
      </c>
      <c r="F3" s="16" t="s">
        <v>48</v>
      </c>
      <c r="G3" s="4" t="s">
        <v>49</v>
      </c>
      <c r="H3" s="3" t="s">
        <v>50</v>
      </c>
      <c r="I3" s="2" t="s">
        <v>51</v>
      </c>
      <c r="J3" s="2" t="s">
        <v>52</v>
      </c>
      <c r="K3" s="2" t="s">
        <v>53</v>
      </c>
    </row>
    <row r="4" spans="1:11" ht="19.5" customHeight="1">
      <c r="A4" s="5">
        <v>1</v>
      </c>
      <c r="B4" s="21" t="str">
        <f>PROPER(TRIM('Raw Data'!B3))</f>
        <v>India</v>
      </c>
      <c r="C4" s="7">
        <f>'Raw Data'!D3</f>
        <v>44690000</v>
      </c>
      <c r="D4" s="7">
        <f>'Raw Data'!E3</f>
        <v>530779</v>
      </c>
      <c r="E4" s="7">
        <f>'Raw Data'!F3</f>
        <v>44100000</v>
      </c>
      <c r="F4" s="22">
        <f t="shared" ref="F4:F13" si="0">IFERROR(C4-D4-E4,0)</f>
        <v>59221</v>
      </c>
      <c r="G4" s="23">
        <f t="shared" ref="G4:G13" si="1">IFERROR(E4/C4*100,0)</f>
        <v>98.679794137390914</v>
      </c>
      <c r="H4" s="24">
        <f t="shared" ref="H4:H13" si="2">IFERROR(D4/C4*100,0)</f>
        <v>1.1876907585589618</v>
      </c>
      <c r="I4" s="25">
        <f t="shared" ref="I4:I13" si="3">RANK(C4,C$4:C$13,0)</f>
        <v>2</v>
      </c>
      <c r="J4" s="25" t="str">
        <f t="shared" ref="J4:J13" si="4">IF(G4&gt;=95,"Excellent",IF(G4&gt;=85,"Good",IF(G4&gt;=70,"Average","Poor")))</f>
        <v>Excellent</v>
      </c>
      <c r="K4" s="26" t="str">
        <f>IFERROR(VLOOKUP(PROPER(TRIM('Raw Data'!B3)),'Data Cleaning'!C19:E28,3,FALSE()),PROPER(TRIM('Raw Data'!C3)))</f>
        <v>Asia</v>
      </c>
    </row>
    <row r="5" spans="1:11" ht="19.5" customHeight="1">
      <c r="A5" s="8">
        <v>2</v>
      </c>
      <c r="B5" s="27" t="str">
        <f>PROPER(TRIM('Raw Data'!B4))</f>
        <v>United States</v>
      </c>
      <c r="C5" s="10">
        <f>'Raw Data'!D4</f>
        <v>103436829</v>
      </c>
      <c r="D5" s="10">
        <f>'Raw Data'!E4</f>
        <v>1123836</v>
      </c>
      <c r="E5" s="10">
        <f>'Raw Data'!F4</f>
        <v>101000000</v>
      </c>
      <c r="F5" s="22">
        <f t="shared" si="0"/>
        <v>1312993</v>
      </c>
      <c r="G5" s="23">
        <f t="shared" si="1"/>
        <v>97.644137950129931</v>
      </c>
      <c r="H5" s="24">
        <f t="shared" si="2"/>
        <v>1.0864950239338833</v>
      </c>
      <c r="I5" s="25">
        <f t="shared" si="3"/>
        <v>1</v>
      </c>
      <c r="J5" s="25" t="str">
        <f t="shared" si="4"/>
        <v>Excellent</v>
      </c>
      <c r="K5" s="26" t="str">
        <f>IFERROR(VLOOKUP(PROPER(TRIM('Raw Data'!B4)),'Data Cleaning'!C19:E28,3,FALSE()),PROPER(TRIM('Raw Data'!C4)))</f>
        <v>North America</v>
      </c>
    </row>
    <row r="6" spans="1:11" ht="19.5" customHeight="1">
      <c r="A6" s="5">
        <v>3</v>
      </c>
      <c r="B6" s="21" t="str">
        <f>PROPER(TRIM('Raw Data'!B5))</f>
        <v>Brazil</v>
      </c>
      <c r="C6" s="7">
        <f>'Raw Data'!D5</f>
        <v>37076053</v>
      </c>
      <c r="D6" s="7">
        <f>'Raw Data'!E5</f>
        <v>699276</v>
      </c>
      <c r="E6" s="7">
        <f>'Raw Data'!F5</f>
        <v>36200000</v>
      </c>
      <c r="F6" s="22">
        <f t="shared" si="0"/>
        <v>176777</v>
      </c>
      <c r="G6" s="23">
        <f t="shared" si="1"/>
        <v>97.63714600364824</v>
      </c>
      <c r="H6" s="24">
        <f t="shared" si="2"/>
        <v>1.8860583676477103</v>
      </c>
      <c r="I6" s="25">
        <f t="shared" si="3"/>
        <v>5</v>
      </c>
      <c r="J6" s="25" t="str">
        <f t="shared" si="4"/>
        <v>Excellent</v>
      </c>
      <c r="K6" s="26" t="str">
        <f>IFERROR(VLOOKUP(PROPER(TRIM('Raw Data'!B5)),'Data Cleaning'!C19:E28,3,FALSE()),PROPER(TRIM('Raw Data'!C5)))</f>
        <v>South America</v>
      </c>
    </row>
    <row r="7" spans="1:11" ht="19.5" customHeight="1">
      <c r="A7" s="8">
        <v>4</v>
      </c>
      <c r="B7" s="27" t="str">
        <f>PROPER(TRIM('Raw Data'!B6))</f>
        <v>France</v>
      </c>
      <c r="C7" s="10">
        <f>'Raw Data'!D6</f>
        <v>39856648</v>
      </c>
      <c r="D7" s="10">
        <f>'Raw Data'!E6</f>
        <v>163968</v>
      </c>
      <c r="E7" s="10">
        <f>'Raw Data'!F6</f>
        <v>39500000</v>
      </c>
      <c r="F7" s="22">
        <f t="shared" si="0"/>
        <v>192680</v>
      </c>
      <c r="G7" s="23">
        <f t="shared" si="1"/>
        <v>99.105173119425388</v>
      </c>
      <c r="H7" s="24">
        <f t="shared" si="2"/>
        <v>0.41139435508977068</v>
      </c>
      <c r="I7" s="25">
        <f t="shared" si="3"/>
        <v>3</v>
      </c>
      <c r="J7" s="25" t="str">
        <f t="shared" si="4"/>
        <v>Excellent</v>
      </c>
      <c r="K7" s="26" t="str">
        <f>IFERROR(VLOOKUP(PROPER(TRIM('Raw Data'!B6)),'Data Cleaning'!C19:E28,3,FALSE()),PROPER(TRIM('Raw Data'!C6)))</f>
        <v>Europe</v>
      </c>
    </row>
    <row r="8" spans="1:11" ht="19.5" customHeight="1">
      <c r="A8" s="5">
        <v>5</v>
      </c>
      <c r="B8" s="21" t="str">
        <f>PROPER(TRIM('Raw Data'!B7))</f>
        <v>Germany</v>
      </c>
      <c r="C8" s="7">
        <f>'Raw Data'!D7</f>
        <v>38249060</v>
      </c>
      <c r="D8" s="7">
        <f>'Raw Data'!E7</f>
        <v>170435</v>
      </c>
      <c r="E8" s="7">
        <f>'Raw Data'!F7</f>
        <v>38000000</v>
      </c>
      <c r="F8" s="22">
        <f t="shared" si="0"/>
        <v>78625</v>
      </c>
      <c r="G8" s="23">
        <f t="shared" si="1"/>
        <v>99.348846742900349</v>
      </c>
      <c r="H8" s="24">
        <f t="shared" si="2"/>
        <v>0.44559264985858477</v>
      </c>
      <c r="I8" s="25">
        <f t="shared" si="3"/>
        <v>4</v>
      </c>
      <c r="J8" s="25" t="str">
        <f t="shared" si="4"/>
        <v>Excellent</v>
      </c>
      <c r="K8" s="26" t="str">
        <f>IFERROR(VLOOKUP(PROPER(TRIM('Raw Data'!B7)),'Data Cleaning'!C19:E28,3,FALSE()),PROPER(TRIM('Raw Data'!C7)))</f>
        <v>Europe</v>
      </c>
    </row>
    <row r="9" spans="1:11" ht="19.5" customHeight="1">
      <c r="A9" s="8">
        <v>6</v>
      </c>
      <c r="B9" s="27" t="str">
        <f>PROPER(TRIM('Raw Data'!B8))</f>
        <v>Russia</v>
      </c>
      <c r="C9" s="10">
        <f>'Raw Data'!D8</f>
        <v>22073615</v>
      </c>
      <c r="D9" s="10">
        <f>'Raw Data'!E8</f>
        <v>388478</v>
      </c>
      <c r="E9" s="10">
        <f>'Raw Data'!F8</f>
        <v>21500000</v>
      </c>
      <c r="F9" s="22">
        <f t="shared" si="0"/>
        <v>185137</v>
      </c>
      <c r="G9" s="23">
        <f t="shared" si="1"/>
        <v>97.401354513069109</v>
      </c>
      <c r="H9" s="24">
        <f t="shared" si="2"/>
        <v>1.7599201580710728</v>
      </c>
      <c r="I9" s="25">
        <f t="shared" si="3"/>
        <v>9</v>
      </c>
      <c r="J9" s="25" t="str">
        <f t="shared" si="4"/>
        <v>Excellent</v>
      </c>
      <c r="K9" s="26" t="str">
        <f>IFERROR(VLOOKUP(PROPER(TRIM('Raw Data'!B8)),'Data Cleaning'!C19:E28,3,FALSE()),PROPER(TRIM('Raw Data'!C8)))</f>
        <v>Europe</v>
      </c>
    </row>
    <row r="10" spans="1:11" ht="19.5" customHeight="1">
      <c r="A10" s="5">
        <v>7</v>
      </c>
      <c r="B10" s="21" t="str">
        <f>PROPER(TRIM('Raw Data'!B9))</f>
        <v>South Korea</v>
      </c>
      <c r="C10" s="7">
        <f>'Raw Data'!D9</f>
        <v>30620470</v>
      </c>
      <c r="D10" s="7">
        <f>'Raw Data'!E9</f>
        <v>34010</v>
      </c>
      <c r="E10" s="7">
        <f>'Raw Data'!F9</f>
        <v>30500000</v>
      </c>
      <c r="F10" s="22">
        <f t="shared" si="0"/>
        <v>86460</v>
      </c>
      <c r="G10" s="23">
        <f t="shared" si="1"/>
        <v>99.606570375960914</v>
      </c>
      <c r="H10" s="24">
        <f t="shared" si="2"/>
        <v>0.11106949044217806</v>
      </c>
      <c r="I10" s="25">
        <f t="shared" si="3"/>
        <v>7</v>
      </c>
      <c r="J10" s="25" t="str">
        <f t="shared" si="4"/>
        <v>Excellent</v>
      </c>
      <c r="K10" s="26" t="str">
        <f>IFERROR(VLOOKUP(PROPER(TRIM('Raw Data'!B9)),'Data Cleaning'!C19:E28,3,FALSE()),PROPER(TRIM('Raw Data'!C9)))</f>
        <v>Asia</v>
      </c>
    </row>
    <row r="11" spans="1:11" ht="19.5" customHeight="1">
      <c r="A11" s="8">
        <v>8</v>
      </c>
      <c r="B11" s="27" t="str">
        <f>PROPER(TRIM('Raw Data'!B10))</f>
        <v>Japan</v>
      </c>
      <c r="C11" s="10">
        <f>'Raw Data'!D10</f>
        <v>33297103</v>
      </c>
      <c r="D11" s="10">
        <f>'Raw Data'!E10</f>
        <v>72934</v>
      </c>
      <c r="E11" s="10">
        <f>'Raw Data'!F10</f>
        <v>32900000</v>
      </c>
      <c r="F11" s="22">
        <f t="shared" si="0"/>
        <v>324169</v>
      </c>
      <c r="G11" s="23">
        <f t="shared" si="1"/>
        <v>98.807394745422755</v>
      </c>
      <c r="H11" s="24">
        <f t="shared" si="2"/>
        <v>0.21904007684992896</v>
      </c>
      <c r="I11" s="25">
        <f t="shared" si="3"/>
        <v>6</v>
      </c>
      <c r="J11" s="25" t="str">
        <f t="shared" si="4"/>
        <v>Excellent</v>
      </c>
      <c r="K11" s="26" t="str">
        <f>IFERROR(VLOOKUP(PROPER(TRIM('Raw Data'!B10)),'Data Cleaning'!C19:E28,3,FALSE()),PROPER(TRIM('Raw Data'!C10)))</f>
        <v>Asia</v>
      </c>
    </row>
    <row r="12" spans="1:11" ht="19.5" customHeight="1">
      <c r="A12" s="5">
        <v>9</v>
      </c>
      <c r="B12" s="21" t="str">
        <f>PROPER(TRIM('Raw Data'!B11))</f>
        <v>Italy</v>
      </c>
      <c r="C12" s="7">
        <f>'Raw Data'!D11</f>
        <v>25627478</v>
      </c>
      <c r="D12" s="7">
        <f>'Raw Data'!E11</f>
        <v>190426</v>
      </c>
      <c r="E12" s="7">
        <f>'Raw Data'!F11</f>
        <v>25300000</v>
      </c>
      <c r="F12" s="22">
        <f t="shared" si="0"/>
        <v>137052</v>
      </c>
      <c r="G12" s="23">
        <f t="shared" si="1"/>
        <v>98.722160643353192</v>
      </c>
      <c r="H12" s="24">
        <f t="shared" si="2"/>
        <v>0.74305399852455234</v>
      </c>
      <c r="I12" s="25">
        <f t="shared" si="3"/>
        <v>8</v>
      </c>
      <c r="J12" s="25" t="str">
        <f t="shared" si="4"/>
        <v>Excellent</v>
      </c>
      <c r="K12" s="26" t="str">
        <f>IFERROR(VLOOKUP(PROPER(TRIM('Raw Data'!B11)),'Data Cleaning'!C19:E28,3,FALSE()),PROPER(TRIM('Raw Data'!C11)))</f>
        <v>Europe</v>
      </c>
    </row>
    <row r="13" spans="1:11" ht="19.5" customHeight="1">
      <c r="A13" s="8">
        <v>10</v>
      </c>
      <c r="B13" s="27" t="str">
        <f>PROPER(TRIM('Raw Data'!B12))</f>
        <v>Australia</v>
      </c>
      <c r="C13" s="10">
        <f>'Raw Data'!D12</f>
        <v>11317009</v>
      </c>
      <c r="D13" s="10">
        <f>'Raw Data'!E12</f>
        <v>19866</v>
      </c>
      <c r="E13" s="10">
        <f>'Raw Data'!F12</f>
        <v>11200000</v>
      </c>
      <c r="F13" s="22">
        <f t="shared" si="0"/>
        <v>97143</v>
      </c>
      <c r="G13" s="23">
        <f t="shared" si="1"/>
        <v>98.966078404638537</v>
      </c>
      <c r="H13" s="24">
        <f t="shared" si="2"/>
        <v>0.1755410815702276</v>
      </c>
      <c r="I13" s="25">
        <f t="shared" si="3"/>
        <v>10</v>
      </c>
      <c r="J13" s="25" t="str">
        <f t="shared" si="4"/>
        <v>Excellent</v>
      </c>
      <c r="K13" s="26" t="str">
        <f>IFERROR(VLOOKUP(PROPER(TRIM('Raw Data'!B12)),'Data Cleaning'!C19:E28,3,FALSE()),PROPER(TRIM('Raw Data'!C12)))</f>
        <v>Oceania</v>
      </c>
    </row>
    <row r="14" spans="1:11" ht="14.25" customHeight="1"/>
    <row r="15" spans="1:11" ht="24" customHeight="1">
      <c r="A15" s="72" t="s">
        <v>54</v>
      </c>
      <c r="B15" s="72"/>
      <c r="C15" s="72"/>
      <c r="D15" s="72"/>
      <c r="E15" s="72"/>
      <c r="F15" s="72"/>
      <c r="G15" s="72"/>
      <c r="H15" s="72"/>
      <c r="I15" s="70"/>
      <c r="J15" s="70"/>
      <c r="K15" s="71"/>
    </row>
    <row r="16" spans="1:11" ht="14.4">
      <c r="A16" s="1" t="s">
        <v>55</v>
      </c>
      <c r="B16" s="1" t="s">
        <v>3</v>
      </c>
      <c r="C16" s="1" t="s">
        <v>4</v>
      </c>
      <c r="D16" s="1" t="s">
        <v>56</v>
      </c>
      <c r="E16" s="1" t="s">
        <v>57</v>
      </c>
      <c r="F16" s="1" t="s">
        <v>58</v>
      </c>
      <c r="G16" s="1" t="s">
        <v>59</v>
      </c>
      <c r="H16" s="1" t="s">
        <v>60</v>
      </c>
    </row>
    <row r="17" spans="1:11" ht="27.6">
      <c r="A17" s="4" t="s">
        <v>61</v>
      </c>
      <c r="B17" s="7">
        <f t="shared" ref="B17:E17" si="5">SUM(C4:C13)</f>
        <v>386244265</v>
      </c>
      <c r="C17" s="7">
        <f t="shared" si="5"/>
        <v>3394008</v>
      </c>
      <c r="D17" s="7">
        <f t="shared" si="5"/>
        <v>380200000</v>
      </c>
      <c r="E17" s="7">
        <f t="shared" si="5"/>
        <v>2650257</v>
      </c>
      <c r="F17" s="28" t="s">
        <v>30</v>
      </c>
      <c r="G17" s="28" t="s">
        <v>30</v>
      </c>
      <c r="H17" s="5" t="s">
        <v>30</v>
      </c>
    </row>
    <row r="18" spans="1:11" ht="27.6">
      <c r="A18" s="2" t="s">
        <v>62</v>
      </c>
      <c r="B18" s="10">
        <f t="shared" ref="B18:G18" si="6">AVERAGE(C4:C13)</f>
        <v>38624426.5</v>
      </c>
      <c r="C18" s="10">
        <f t="shared" si="6"/>
        <v>339400.8</v>
      </c>
      <c r="D18" s="10">
        <f t="shared" si="6"/>
        <v>38020000</v>
      </c>
      <c r="E18" s="10">
        <f t="shared" si="6"/>
        <v>265025.7</v>
      </c>
      <c r="F18" s="29">
        <f t="shared" si="6"/>
        <v>98.591865663593936</v>
      </c>
      <c r="G18" s="29">
        <f t="shared" si="6"/>
        <v>0.80258559605468704</v>
      </c>
      <c r="H18" s="8" t="s">
        <v>30</v>
      </c>
    </row>
    <row r="19" spans="1:11" ht="27.6">
      <c r="A19" s="30" t="s">
        <v>63</v>
      </c>
      <c r="B19" s="7">
        <f t="shared" ref="B19:G19" si="7">MAX(C4:C13)</f>
        <v>103436829</v>
      </c>
      <c r="C19" s="7">
        <f t="shared" si="7"/>
        <v>1123836</v>
      </c>
      <c r="D19" s="7">
        <f t="shared" si="7"/>
        <v>101000000</v>
      </c>
      <c r="E19" s="7">
        <f t="shared" si="7"/>
        <v>1312993</v>
      </c>
      <c r="F19" s="28">
        <f t="shared" si="7"/>
        <v>99.606570375960914</v>
      </c>
      <c r="G19" s="28">
        <f t="shared" si="7"/>
        <v>1.8860583676477103</v>
      </c>
      <c r="H19" s="5" t="s">
        <v>30</v>
      </c>
    </row>
    <row r="20" spans="1:11" ht="27.6">
      <c r="A20" s="3" t="s">
        <v>64</v>
      </c>
      <c r="B20" s="10">
        <f t="shared" ref="B20:G20" si="8">MIN(C4:C13)</f>
        <v>11317009</v>
      </c>
      <c r="C20" s="10">
        <f t="shared" si="8"/>
        <v>19866</v>
      </c>
      <c r="D20" s="10">
        <f t="shared" si="8"/>
        <v>11200000</v>
      </c>
      <c r="E20" s="10">
        <f t="shared" si="8"/>
        <v>59221</v>
      </c>
      <c r="F20" s="29">
        <f t="shared" si="8"/>
        <v>97.401354513069109</v>
      </c>
      <c r="G20" s="29">
        <f t="shared" si="8"/>
        <v>0.11106949044217806</v>
      </c>
      <c r="H20" s="8" t="s">
        <v>30</v>
      </c>
    </row>
    <row r="21" spans="1:11" ht="27.6">
      <c r="A21" s="16" t="s">
        <v>65</v>
      </c>
      <c r="B21" s="7">
        <f>COUNT(C4:C13)</f>
        <v>10</v>
      </c>
      <c r="C21" s="7" t="s">
        <v>30</v>
      </c>
      <c r="D21" s="7" t="s">
        <v>30</v>
      </c>
      <c r="E21" s="7" t="s">
        <v>30</v>
      </c>
      <c r="F21" s="28" t="s">
        <v>30</v>
      </c>
      <c r="G21" s="28" t="s">
        <v>30</v>
      </c>
      <c r="H21" s="5" t="s">
        <v>30</v>
      </c>
    </row>
    <row r="22" spans="1:11" ht="14.25" customHeight="1"/>
    <row r="23" spans="1:11" ht="25.5" customHeight="1">
      <c r="A23" s="44" t="s">
        <v>159</v>
      </c>
      <c r="B23" s="42"/>
      <c r="C23" s="42"/>
      <c r="D23" s="42"/>
      <c r="E23" s="42"/>
      <c r="F23" s="42"/>
      <c r="G23" s="42"/>
      <c r="H23" s="42"/>
      <c r="I23" s="42"/>
      <c r="J23" s="42"/>
      <c r="K23" s="43"/>
    </row>
    <row r="24" spans="1:11" ht="25.5" customHeight="1">
      <c r="A24" s="44" t="s">
        <v>160</v>
      </c>
      <c r="B24" s="42"/>
      <c r="C24" s="42"/>
      <c r="D24" s="42"/>
      <c r="E24" s="42"/>
      <c r="F24" s="42"/>
      <c r="G24" s="42"/>
      <c r="H24" s="42"/>
      <c r="I24" s="42"/>
      <c r="J24" s="42"/>
      <c r="K24" s="43"/>
    </row>
    <row r="25" spans="1:11" ht="25.5" customHeight="1">
      <c r="A25" s="44" t="s">
        <v>161</v>
      </c>
      <c r="B25" s="42"/>
      <c r="C25" s="42"/>
      <c r="D25" s="42"/>
      <c r="E25" s="42"/>
      <c r="F25" s="42"/>
      <c r="G25" s="42"/>
      <c r="H25" s="42"/>
      <c r="I25" s="42"/>
      <c r="J25" s="42"/>
      <c r="K25" s="43"/>
    </row>
    <row r="26" spans="1:11" ht="25.5" customHeight="1">
      <c r="A26" s="44" t="s">
        <v>162</v>
      </c>
      <c r="B26" s="42"/>
      <c r="C26" s="42"/>
      <c r="D26" s="42"/>
      <c r="E26" s="42"/>
      <c r="F26" s="42"/>
      <c r="G26" s="42"/>
      <c r="H26" s="42"/>
      <c r="I26" s="42"/>
      <c r="J26" s="42"/>
      <c r="K26" s="43"/>
    </row>
    <row r="27" spans="1:11" ht="14.25" customHeight="1"/>
    <row r="28" spans="1:11" ht="14.25" customHeight="1"/>
    <row r="29" spans="1:11" ht="14.25" customHeight="1"/>
    <row r="30" spans="1:11" ht="14.25" customHeight="1"/>
    <row r="31" spans="1:11" ht="14.25" customHeight="1"/>
    <row r="32" spans="1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25:K25"/>
    <mergeCell ref="A26:K26"/>
    <mergeCell ref="A1:K1"/>
    <mergeCell ref="A2:K2"/>
    <mergeCell ref="A23:K23"/>
    <mergeCell ref="A24:K24"/>
    <mergeCell ref="A15:H15"/>
  </mergeCells>
  <conditionalFormatting sqref="G4:G13">
    <cfRule type="colorScale" priority="1">
      <colorScale>
        <cfvo type="min"/>
        <cfvo type="percentile" val="50"/>
        <cfvo type="max"/>
        <color rgb="FFC0392B"/>
        <color rgb="FFF1C40F"/>
        <color rgb="FF27AE60"/>
      </colorScale>
    </cfRule>
  </conditionalFormatting>
  <conditionalFormatting sqref="H4:H13">
    <cfRule type="colorScale" priority="2">
      <colorScale>
        <cfvo type="min"/>
        <cfvo type="percentile" val="50"/>
        <cfvo type="max"/>
        <color rgb="FF27AE60"/>
        <color rgb="FFF1C40F"/>
        <color rgb="FFC0392B"/>
      </colorScale>
    </cfRule>
  </conditionalFormatting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81"/>
  <sheetViews>
    <sheetView showGridLines="0" workbookViewId="0">
      <selection activeCell="O34" sqref="O34"/>
    </sheetView>
  </sheetViews>
  <sheetFormatPr defaultColWidth="14.44140625" defaultRowHeight="15" customHeight="1"/>
  <cols>
    <col min="1" max="1" width="2" customWidth="1"/>
    <col min="2" max="2" width="16" customWidth="1"/>
    <col min="3" max="10" width="14" customWidth="1"/>
    <col min="11" max="11" width="2" customWidth="1"/>
    <col min="12" max="26" width="8.6640625" customWidth="1"/>
  </cols>
  <sheetData>
    <row r="1" spans="1:11" ht="39.75" customHeight="1">
      <c r="A1" s="48" t="s">
        <v>66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1" ht="21.75" customHeight="1">
      <c r="A2" s="49" t="s">
        <v>67</v>
      </c>
      <c r="B2" s="39"/>
      <c r="C2" s="39"/>
      <c r="D2" s="39"/>
      <c r="E2" s="39"/>
      <c r="F2" s="39"/>
      <c r="G2" s="39"/>
      <c r="H2" s="39"/>
      <c r="I2" s="39"/>
      <c r="J2" s="39"/>
      <c r="K2" s="40"/>
    </row>
    <row r="3" spans="1:11" ht="14.25" customHeight="1"/>
    <row r="4" spans="1:11" ht="19.5" customHeight="1">
      <c r="B4" s="45" t="s">
        <v>68</v>
      </c>
      <c r="C4" s="39"/>
      <c r="D4" s="40"/>
      <c r="E4" s="50" t="s">
        <v>69</v>
      </c>
      <c r="F4" s="39"/>
      <c r="G4" s="40"/>
      <c r="H4" s="51" t="s">
        <v>70</v>
      </c>
      <c r="I4" s="39"/>
      <c r="J4" s="40"/>
    </row>
    <row r="5" spans="1:11" ht="39.75" customHeight="1">
      <c r="B5" s="54">
        <f>SUM(Analysis!C4:C13)</f>
        <v>386244265</v>
      </c>
      <c r="C5" s="42"/>
      <c r="D5" s="43"/>
      <c r="E5" s="52">
        <f>SUM(Analysis!D4:D13)</f>
        <v>3394008</v>
      </c>
      <c r="F5" s="42"/>
      <c r="G5" s="43"/>
      <c r="H5" s="53">
        <f>SUM(Analysis!E4:E13)</f>
        <v>380200000</v>
      </c>
      <c r="I5" s="42"/>
      <c r="J5" s="43"/>
    </row>
    <row r="6" spans="1:11" ht="7.5" customHeight="1">
      <c r="B6" s="55"/>
      <c r="C6" s="56"/>
      <c r="D6" s="56"/>
      <c r="E6" s="55"/>
      <c r="F6" s="56"/>
      <c r="G6" s="56"/>
      <c r="H6" s="55"/>
      <c r="I6" s="56"/>
      <c r="J6" s="56"/>
    </row>
    <row r="7" spans="1:11" ht="14.25" customHeight="1"/>
    <row r="8" spans="1:11" ht="19.5" customHeight="1">
      <c r="B8" s="57" t="s">
        <v>71</v>
      </c>
      <c r="C8" s="39"/>
      <c r="D8" s="40"/>
      <c r="E8" s="58" t="s">
        <v>72</v>
      </c>
      <c r="F8" s="39"/>
      <c r="G8" s="40"/>
      <c r="H8" s="50" t="s">
        <v>73</v>
      </c>
      <c r="I8" s="39"/>
      <c r="J8" s="40"/>
    </row>
    <row r="9" spans="1:11" ht="39.75" customHeight="1">
      <c r="B9" s="59">
        <f>SUM(Analysis!F4:F13)</f>
        <v>2650257</v>
      </c>
      <c r="C9" s="42"/>
      <c r="D9" s="43"/>
      <c r="E9" s="60">
        <f>ROUND(AVERAGE(Analysis!G4:G13),2)</f>
        <v>98.59</v>
      </c>
      <c r="F9" s="42"/>
      <c r="G9" s="43"/>
      <c r="H9" s="52">
        <f>ROUND(AVERAGE(Analysis!H4:H13),3)</f>
        <v>0.80300000000000005</v>
      </c>
      <c r="I9" s="42"/>
      <c r="J9" s="43"/>
    </row>
    <row r="10" spans="1:11" ht="7.5" customHeight="1">
      <c r="B10" s="55"/>
      <c r="C10" s="56"/>
      <c r="D10" s="56"/>
      <c r="E10" s="55"/>
      <c r="F10" s="56"/>
      <c r="G10" s="56"/>
      <c r="H10" s="55"/>
      <c r="I10" s="56"/>
      <c r="J10" s="56"/>
    </row>
    <row r="11" spans="1:11" ht="14.25" customHeight="1"/>
    <row r="12" spans="1:11" ht="21.75" customHeight="1">
      <c r="B12" s="61" t="s">
        <v>74</v>
      </c>
      <c r="C12" s="39"/>
      <c r="D12" s="39"/>
      <c r="E12" s="39"/>
      <c r="F12" s="39"/>
      <c r="G12" s="39"/>
      <c r="H12" s="39"/>
      <c r="I12" s="39"/>
      <c r="J12" s="40"/>
    </row>
    <row r="13" spans="1:11" ht="21.75" customHeight="1">
      <c r="B13" s="1" t="s">
        <v>1</v>
      </c>
      <c r="C13" s="1" t="s">
        <v>3</v>
      </c>
      <c r="D13" s="1" t="s">
        <v>4</v>
      </c>
      <c r="E13" s="1" t="s">
        <v>56</v>
      </c>
      <c r="F13" s="1" t="s">
        <v>57</v>
      </c>
      <c r="G13" s="1" t="s">
        <v>75</v>
      </c>
      <c r="H13" s="1" t="s">
        <v>76</v>
      </c>
      <c r="I13" s="1" t="s">
        <v>77</v>
      </c>
      <c r="J13" s="1" t="s">
        <v>40</v>
      </c>
    </row>
    <row r="14" spans="1:11" ht="18" customHeight="1">
      <c r="B14" s="21" t="str">
        <f>Analysis!B4</f>
        <v>India</v>
      </c>
      <c r="C14" s="7">
        <f>Analysis!C4</f>
        <v>44690000</v>
      </c>
      <c r="D14" s="7">
        <f>Analysis!D4</f>
        <v>530779</v>
      </c>
      <c r="E14" s="7">
        <f>Analysis!E4</f>
        <v>44100000</v>
      </c>
      <c r="F14" s="7">
        <f>Analysis!F4</f>
        <v>59221</v>
      </c>
      <c r="G14" s="31">
        <f>Analysis!G4</f>
        <v>98.679794137390914</v>
      </c>
      <c r="H14" s="24">
        <f>Analysis!H4</f>
        <v>1.1876907585589618</v>
      </c>
      <c r="I14" s="25">
        <f>Analysis!I4</f>
        <v>2</v>
      </c>
      <c r="J14" s="26" t="str">
        <f>Analysis!J4</f>
        <v>Excellent</v>
      </c>
    </row>
    <row r="15" spans="1:11" ht="18" customHeight="1">
      <c r="B15" s="27" t="str">
        <f>Analysis!B5</f>
        <v>United States</v>
      </c>
      <c r="C15" s="10">
        <f>Analysis!C5</f>
        <v>103436829</v>
      </c>
      <c r="D15" s="10">
        <f>Analysis!D5</f>
        <v>1123836</v>
      </c>
      <c r="E15" s="10">
        <f>Analysis!E5</f>
        <v>101000000</v>
      </c>
      <c r="F15" s="10">
        <f>Analysis!F5</f>
        <v>1312993</v>
      </c>
      <c r="G15" s="31">
        <f>Analysis!G5</f>
        <v>97.644137950129931</v>
      </c>
      <c r="H15" s="24">
        <f>Analysis!H5</f>
        <v>1.0864950239338833</v>
      </c>
      <c r="I15" s="25">
        <f>Analysis!I5</f>
        <v>1</v>
      </c>
      <c r="J15" s="26" t="str">
        <f>Analysis!J5</f>
        <v>Excellent</v>
      </c>
    </row>
    <row r="16" spans="1:11" ht="18" customHeight="1">
      <c r="B16" s="21" t="str">
        <f>Analysis!B6</f>
        <v>Brazil</v>
      </c>
      <c r="C16" s="7">
        <f>Analysis!C6</f>
        <v>37076053</v>
      </c>
      <c r="D16" s="7">
        <f>Analysis!D6</f>
        <v>699276</v>
      </c>
      <c r="E16" s="7">
        <f>Analysis!E6</f>
        <v>36200000</v>
      </c>
      <c r="F16" s="7">
        <f>Analysis!F6</f>
        <v>176777</v>
      </c>
      <c r="G16" s="31">
        <f>Analysis!G6</f>
        <v>97.63714600364824</v>
      </c>
      <c r="H16" s="24">
        <f>Analysis!H6</f>
        <v>1.8860583676477103</v>
      </c>
      <c r="I16" s="25">
        <f>Analysis!I6</f>
        <v>5</v>
      </c>
      <c r="J16" s="26" t="str">
        <f>Analysis!J6</f>
        <v>Excellent</v>
      </c>
    </row>
    <row r="17" spans="2:10" ht="18" customHeight="1">
      <c r="B17" s="27" t="str">
        <f>Analysis!B7</f>
        <v>France</v>
      </c>
      <c r="C17" s="10">
        <f>Analysis!C7</f>
        <v>39856648</v>
      </c>
      <c r="D17" s="10">
        <f>Analysis!D7</f>
        <v>163968</v>
      </c>
      <c r="E17" s="10">
        <f>Analysis!E7</f>
        <v>39500000</v>
      </c>
      <c r="F17" s="10">
        <f>Analysis!F7</f>
        <v>192680</v>
      </c>
      <c r="G17" s="31">
        <f>Analysis!G7</f>
        <v>99.105173119425388</v>
      </c>
      <c r="H17" s="24">
        <f>Analysis!H7</f>
        <v>0.41139435508977068</v>
      </c>
      <c r="I17" s="25">
        <f>Analysis!I7</f>
        <v>3</v>
      </c>
      <c r="J17" s="26" t="str">
        <f>Analysis!J7</f>
        <v>Excellent</v>
      </c>
    </row>
    <row r="18" spans="2:10" ht="18" customHeight="1">
      <c r="B18" s="21" t="str">
        <f>Analysis!B8</f>
        <v>Germany</v>
      </c>
      <c r="C18" s="7">
        <f>Analysis!C8</f>
        <v>38249060</v>
      </c>
      <c r="D18" s="7">
        <f>Analysis!D8</f>
        <v>170435</v>
      </c>
      <c r="E18" s="7">
        <f>Analysis!E8</f>
        <v>38000000</v>
      </c>
      <c r="F18" s="7">
        <f>Analysis!F8</f>
        <v>78625</v>
      </c>
      <c r="G18" s="31">
        <f>Analysis!G8</f>
        <v>99.348846742900349</v>
      </c>
      <c r="H18" s="24">
        <f>Analysis!H8</f>
        <v>0.44559264985858477</v>
      </c>
      <c r="I18" s="25">
        <f>Analysis!I8</f>
        <v>4</v>
      </c>
      <c r="J18" s="26" t="str">
        <f>Analysis!J8</f>
        <v>Excellent</v>
      </c>
    </row>
    <row r="19" spans="2:10" ht="18" customHeight="1">
      <c r="B19" s="27" t="str">
        <f>Analysis!B9</f>
        <v>Russia</v>
      </c>
      <c r="C19" s="10">
        <f>Analysis!C9</f>
        <v>22073615</v>
      </c>
      <c r="D19" s="10">
        <f>Analysis!D9</f>
        <v>388478</v>
      </c>
      <c r="E19" s="10">
        <f>Analysis!E9</f>
        <v>21500000</v>
      </c>
      <c r="F19" s="10">
        <f>Analysis!F9</f>
        <v>185137</v>
      </c>
      <c r="G19" s="31">
        <f>Analysis!G9</f>
        <v>97.401354513069109</v>
      </c>
      <c r="H19" s="24">
        <f>Analysis!H9</f>
        <v>1.7599201580710728</v>
      </c>
      <c r="I19" s="25">
        <f>Analysis!I9</f>
        <v>9</v>
      </c>
      <c r="J19" s="26" t="str">
        <f>Analysis!J9</f>
        <v>Excellent</v>
      </c>
    </row>
    <row r="20" spans="2:10" ht="18" customHeight="1">
      <c r="B20" s="21" t="str">
        <f>Analysis!B10</f>
        <v>South Korea</v>
      </c>
      <c r="C20" s="7">
        <f>Analysis!C10</f>
        <v>30620470</v>
      </c>
      <c r="D20" s="7">
        <f>Analysis!D10</f>
        <v>34010</v>
      </c>
      <c r="E20" s="7">
        <f>Analysis!E10</f>
        <v>30500000</v>
      </c>
      <c r="F20" s="7">
        <f>Analysis!F10</f>
        <v>86460</v>
      </c>
      <c r="G20" s="31">
        <f>Analysis!G10</f>
        <v>99.606570375960914</v>
      </c>
      <c r="H20" s="24">
        <f>Analysis!H10</f>
        <v>0.11106949044217806</v>
      </c>
      <c r="I20" s="25">
        <f>Analysis!I10</f>
        <v>7</v>
      </c>
      <c r="J20" s="26" t="str">
        <f>Analysis!J10</f>
        <v>Excellent</v>
      </c>
    </row>
    <row r="21" spans="2:10" ht="18" customHeight="1">
      <c r="B21" s="27" t="str">
        <f>Analysis!B11</f>
        <v>Japan</v>
      </c>
      <c r="C21" s="10">
        <f>Analysis!C11</f>
        <v>33297103</v>
      </c>
      <c r="D21" s="10">
        <f>Analysis!D11</f>
        <v>72934</v>
      </c>
      <c r="E21" s="10">
        <f>Analysis!E11</f>
        <v>32900000</v>
      </c>
      <c r="F21" s="10">
        <f>Analysis!F11</f>
        <v>324169</v>
      </c>
      <c r="G21" s="31">
        <f>Analysis!G11</f>
        <v>98.807394745422755</v>
      </c>
      <c r="H21" s="24">
        <f>Analysis!H11</f>
        <v>0.21904007684992896</v>
      </c>
      <c r="I21" s="25">
        <f>Analysis!I11</f>
        <v>6</v>
      </c>
      <c r="J21" s="26" t="str">
        <f>Analysis!J11</f>
        <v>Excellent</v>
      </c>
    </row>
    <row r="22" spans="2:10" ht="18" customHeight="1">
      <c r="B22" s="21" t="str">
        <f>Analysis!B12</f>
        <v>Italy</v>
      </c>
      <c r="C22" s="7">
        <f>Analysis!C12</f>
        <v>25627478</v>
      </c>
      <c r="D22" s="7">
        <f>Analysis!D12</f>
        <v>190426</v>
      </c>
      <c r="E22" s="7">
        <f>Analysis!E12</f>
        <v>25300000</v>
      </c>
      <c r="F22" s="7">
        <f>Analysis!F12</f>
        <v>137052</v>
      </c>
      <c r="G22" s="31">
        <f>Analysis!G12</f>
        <v>98.722160643353192</v>
      </c>
      <c r="H22" s="24">
        <f>Analysis!H12</f>
        <v>0.74305399852455234</v>
      </c>
      <c r="I22" s="25">
        <f>Analysis!I12</f>
        <v>8</v>
      </c>
      <c r="J22" s="26" t="str">
        <f>Analysis!J12</f>
        <v>Excellent</v>
      </c>
    </row>
    <row r="23" spans="2:10" ht="18" customHeight="1">
      <c r="B23" s="27" t="str">
        <f>Analysis!B13</f>
        <v>Australia</v>
      </c>
      <c r="C23" s="10">
        <f>Analysis!C13</f>
        <v>11317009</v>
      </c>
      <c r="D23" s="10">
        <f>Analysis!D13</f>
        <v>19866</v>
      </c>
      <c r="E23" s="10">
        <f>Analysis!E13</f>
        <v>11200000</v>
      </c>
      <c r="F23" s="10">
        <f>Analysis!F13</f>
        <v>97143</v>
      </c>
      <c r="G23" s="31">
        <f>Analysis!G13</f>
        <v>98.966078404638537</v>
      </c>
      <c r="H23" s="24">
        <f>Analysis!H13</f>
        <v>0.1755410815702276</v>
      </c>
      <c r="I23" s="25">
        <f>Analysis!I13</f>
        <v>10</v>
      </c>
      <c r="J23" s="26" t="str">
        <f>Analysis!J13</f>
        <v>Excellent</v>
      </c>
    </row>
    <row r="24" spans="2:10" ht="14.25" customHeight="1"/>
    <row r="25" spans="2:10" ht="14.25" customHeight="1"/>
    <row r="26" spans="2:10" ht="14.25" customHeight="1"/>
    <row r="27" spans="2:10" ht="14.25" customHeight="1"/>
    <row r="28" spans="2:10" ht="14.25" customHeight="1"/>
    <row r="29" spans="2:10" ht="14.25" customHeight="1"/>
    <row r="30" spans="2:10" ht="14.25" customHeight="1"/>
    <row r="31" spans="2:10" ht="14.25" customHeight="1"/>
    <row r="32" spans="2:10" ht="14.25" customHeight="1"/>
    <row r="33" spans="2:10" ht="14.25" customHeight="1"/>
    <row r="34" spans="2:10" ht="14.25" customHeight="1"/>
    <row r="35" spans="2:10" ht="14.25" customHeight="1"/>
    <row r="36" spans="2:10" ht="14.25" customHeight="1"/>
    <row r="37" spans="2:10" ht="14.25" customHeight="1"/>
    <row r="38" spans="2:10" ht="14.25" customHeight="1"/>
    <row r="39" spans="2:10" ht="14.25" customHeight="1"/>
    <row r="40" spans="2:10" ht="21.75" customHeight="1">
      <c r="B40" s="64" t="s">
        <v>78</v>
      </c>
      <c r="C40" s="39"/>
      <c r="D40" s="39"/>
      <c r="E40" s="39"/>
      <c r="F40" s="39"/>
      <c r="G40" s="39"/>
      <c r="H40" s="39"/>
      <c r="I40" s="39"/>
      <c r="J40" s="40"/>
    </row>
    <row r="41" spans="2:10" ht="18" customHeight="1">
      <c r="B41" s="65" t="s">
        <v>163</v>
      </c>
      <c r="C41" s="42"/>
      <c r="D41" s="42"/>
      <c r="E41" s="42"/>
      <c r="F41" s="42"/>
      <c r="G41" s="42"/>
      <c r="H41" s="42"/>
      <c r="I41" s="42"/>
      <c r="J41" s="43"/>
    </row>
    <row r="42" spans="2:10" ht="18" customHeight="1">
      <c r="B42" s="66" t="s">
        <v>164</v>
      </c>
      <c r="C42" s="42"/>
      <c r="D42" s="42"/>
      <c r="E42" s="42"/>
      <c r="F42" s="42"/>
      <c r="G42" s="42"/>
      <c r="H42" s="42"/>
      <c r="I42" s="42"/>
      <c r="J42" s="43"/>
    </row>
    <row r="43" spans="2:10" ht="18" customHeight="1">
      <c r="B43" s="65" t="s">
        <v>165</v>
      </c>
      <c r="C43" s="42"/>
      <c r="D43" s="42"/>
      <c r="E43" s="42"/>
      <c r="F43" s="42"/>
      <c r="G43" s="42"/>
      <c r="H43" s="42"/>
      <c r="I43" s="42"/>
      <c r="J43" s="43"/>
    </row>
    <row r="44" spans="2:10" ht="18" customHeight="1">
      <c r="B44" s="66" t="s">
        <v>166</v>
      </c>
      <c r="C44" s="42"/>
      <c r="D44" s="42"/>
      <c r="E44" s="42"/>
      <c r="F44" s="42"/>
      <c r="G44" s="42"/>
      <c r="H44" s="42"/>
      <c r="I44" s="42"/>
      <c r="J44" s="43"/>
    </row>
    <row r="45" spans="2:10" ht="18" customHeight="1">
      <c r="B45" s="65" t="s">
        <v>167</v>
      </c>
      <c r="C45" s="42"/>
      <c r="D45" s="42"/>
      <c r="E45" s="42"/>
      <c r="F45" s="42"/>
      <c r="G45" s="42"/>
      <c r="H45" s="42"/>
      <c r="I45" s="42"/>
      <c r="J45" s="43"/>
    </row>
    <row r="46" spans="2:10" ht="18" customHeight="1">
      <c r="B46" s="62"/>
      <c r="C46" s="42"/>
      <c r="D46" s="42"/>
      <c r="E46" s="42"/>
      <c r="F46" s="42"/>
      <c r="G46" s="42"/>
      <c r="H46" s="42"/>
      <c r="I46" s="42"/>
      <c r="J46" s="43"/>
    </row>
    <row r="47" spans="2:10" ht="18" customHeight="1">
      <c r="B47" s="63"/>
      <c r="C47" s="42"/>
      <c r="D47" s="42"/>
      <c r="E47" s="42"/>
      <c r="F47" s="42"/>
      <c r="G47" s="42"/>
      <c r="H47" s="42"/>
      <c r="I47" s="42"/>
      <c r="J47" s="43"/>
    </row>
    <row r="48" spans="2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</sheetData>
  <mergeCells count="29">
    <mergeCell ref="B47:J47"/>
    <mergeCell ref="B40:J40"/>
    <mergeCell ref="B41:J41"/>
    <mergeCell ref="B42:J42"/>
    <mergeCell ref="B43:J43"/>
    <mergeCell ref="B44:J44"/>
    <mergeCell ref="B45:J45"/>
    <mergeCell ref="B10:D10"/>
    <mergeCell ref="E10:G10"/>
    <mergeCell ref="H10:J10"/>
    <mergeCell ref="B12:J12"/>
    <mergeCell ref="B46:J46"/>
    <mergeCell ref="B8:D8"/>
    <mergeCell ref="E8:G8"/>
    <mergeCell ref="H8:J8"/>
    <mergeCell ref="B9:D9"/>
    <mergeCell ref="E9:G9"/>
    <mergeCell ref="H9:J9"/>
    <mergeCell ref="E5:G5"/>
    <mergeCell ref="H5:J5"/>
    <mergeCell ref="B5:D5"/>
    <mergeCell ref="B6:D6"/>
    <mergeCell ref="E6:G6"/>
    <mergeCell ref="H6:J6"/>
    <mergeCell ref="A1:K1"/>
    <mergeCell ref="A2:K2"/>
    <mergeCell ref="B4:D4"/>
    <mergeCell ref="E4:G4"/>
    <mergeCell ref="H4:J4"/>
  </mergeCells>
  <conditionalFormatting sqref="G14:G23">
    <cfRule type="colorScale" priority="1">
      <colorScale>
        <cfvo type="min"/>
        <cfvo type="percentile" val="50"/>
        <cfvo type="max"/>
        <color rgb="FFC0392B"/>
        <color rgb="FFF1C40F"/>
        <color rgb="FF27AE60"/>
      </colorScale>
    </cfRule>
  </conditionalFormatting>
  <conditionalFormatting sqref="H14:H23">
    <cfRule type="colorScale" priority="2">
      <colorScale>
        <cfvo type="min"/>
        <cfvo type="percentile" val="50"/>
        <cfvo type="max"/>
        <color rgb="FF27AE60"/>
        <color rgb="FFF1C40F"/>
        <color rgb="FFC0392B"/>
      </colorScale>
    </cfRule>
  </conditionalFormatting>
  <pageMargins left="0.75" right="0.75" top="1" bottom="1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99"/>
  <sheetViews>
    <sheetView showGridLines="0" workbookViewId="0">
      <selection activeCell="G20" sqref="G20"/>
    </sheetView>
  </sheetViews>
  <sheetFormatPr defaultColWidth="14.44140625" defaultRowHeight="15" customHeight="1"/>
  <cols>
    <col min="1" max="1" width="3" customWidth="1"/>
    <col min="2" max="2" width="5.5546875" customWidth="1"/>
    <col min="3" max="3" width="20.33203125" customWidth="1"/>
    <col min="4" max="4" width="33.33203125" customWidth="1"/>
    <col min="5" max="5" width="60.88671875" customWidth="1"/>
    <col min="6" max="26" width="8.6640625" customWidth="1"/>
  </cols>
  <sheetData>
    <row r="1" spans="1:5" ht="36" customHeight="1">
      <c r="A1" s="38" t="s">
        <v>79</v>
      </c>
      <c r="B1" s="39"/>
      <c r="C1" s="39"/>
      <c r="D1" s="39"/>
      <c r="E1" s="40"/>
    </row>
    <row r="2" spans="1:5" ht="27.75" customHeight="1">
      <c r="B2" s="1" t="s">
        <v>0</v>
      </c>
      <c r="C2" s="1" t="s">
        <v>80</v>
      </c>
      <c r="D2" s="1" t="s">
        <v>81</v>
      </c>
      <c r="E2" s="1" t="s">
        <v>82</v>
      </c>
    </row>
    <row r="3" spans="1:5" ht="39.75" customHeight="1">
      <c r="B3" s="32" t="s">
        <v>83</v>
      </c>
      <c r="C3" s="21" t="s">
        <v>84</v>
      </c>
      <c r="D3" s="33" t="s">
        <v>85</v>
      </c>
      <c r="E3" s="34" t="s">
        <v>86</v>
      </c>
    </row>
    <row r="4" spans="1:5" ht="39.75" customHeight="1">
      <c r="B4" s="35" t="s">
        <v>87</v>
      </c>
      <c r="C4" s="27" t="s">
        <v>88</v>
      </c>
      <c r="D4" s="36" t="s">
        <v>89</v>
      </c>
      <c r="E4" s="37" t="s">
        <v>90</v>
      </c>
    </row>
    <row r="5" spans="1:5" ht="39.75" customHeight="1">
      <c r="B5" s="32" t="s">
        <v>91</v>
      </c>
      <c r="C5" s="21" t="s">
        <v>92</v>
      </c>
      <c r="D5" s="33" t="s">
        <v>93</v>
      </c>
      <c r="E5" s="34" t="s">
        <v>94</v>
      </c>
    </row>
    <row r="6" spans="1:5" ht="39.75" customHeight="1">
      <c r="B6" s="35" t="s">
        <v>95</v>
      </c>
      <c r="C6" s="27" t="s">
        <v>96</v>
      </c>
      <c r="D6" s="36" t="s">
        <v>97</v>
      </c>
      <c r="E6" s="34" t="s">
        <v>98</v>
      </c>
    </row>
    <row r="7" spans="1:5" ht="39.75" customHeight="1">
      <c r="B7" s="32" t="s">
        <v>99</v>
      </c>
      <c r="C7" s="21" t="s">
        <v>100</v>
      </c>
      <c r="D7" s="33" t="s">
        <v>101</v>
      </c>
      <c r="E7" s="34" t="s">
        <v>102</v>
      </c>
    </row>
    <row r="8" spans="1:5" ht="39.75" customHeight="1">
      <c r="B8" s="35" t="s">
        <v>103</v>
      </c>
      <c r="C8" s="27" t="s">
        <v>62</v>
      </c>
      <c r="D8" s="36" t="s">
        <v>104</v>
      </c>
      <c r="E8" s="34" t="s">
        <v>105</v>
      </c>
    </row>
    <row r="9" spans="1:5" ht="39.75" customHeight="1">
      <c r="B9" s="32" t="s">
        <v>106</v>
      </c>
      <c r="C9" s="21" t="s">
        <v>107</v>
      </c>
      <c r="D9" s="33" t="s">
        <v>108</v>
      </c>
      <c r="E9" s="34" t="s">
        <v>109</v>
      </c>
    </row>
    <row r="10" spans="1:5" ht="39.75" customHeight="1">
      <c r="B10" s="35" t="s">
        <v>110</v>
      </c>
      <c r="C10" s="27" t="s">
        <v>111</v>
      </c>
      <c r="D10" s="36" t="s">
        <v>112</v>
      </c>
      <c r="E10" s="34" t="s">
        <v>113</v>
      </c>
    </row>
    <row r="11" spans="1:5" ht="39.75" customHeight="1">
      <c r="B11" s="32" t="s">
        <v>114</v>
      </c>
      <c r="C11" s="21" t="s">
        <v>115</v>
      </c>
      <c r="D11" s="33" t="s">
        <v>116</v>
      </c>
      <c r="E11" s="34" t="s">
        <v>117</v>
      </c>
    </row>
    <row r="12" spans="1:5" ht="39.75" customHeight="1">
      <c r="B12" s="35" t="s">
        <v>118</v>
      </c>
      <c r="C12" s="27" t="s">
        <v>119</v>
      </c>
      <c r="D12" s="36" t="s">
        <v>120</v>
      </c>
      <c r="E12" s="34" t="s">
        <v>121</v>
      </c>
    </row>
    <row r="13" spans="1:5" ht="39.75" customHeight="1">
      <c r="B13" s="32" t="s">
        <v>122</v>
      </c>
      <c r="C13" s="21" t="s">
        <v>123</v>
      </c>
      <c r="D13" s="33" t="s">
        <v>124</v>
      </c>
      <c r="E13" s="34" t="s">
        <v>125</v>
      </c>
    </row>
    <row r="14" spans="1:5" ht="39.75" customHeight="1">
      <c r="B14" s="35" t="s">
        <v>126</v>
      </c>
      <c r="C14" s="27" t="s">
        <v>127</v>
      </c>
      <c r="D14" s="36" t="s">
        <v>128</v>
      </c>
      <c r="E14" s="37" t="s">
        <v>129</v>
      </c>
    </row>
    <row r="15" spans="1:5" ht="39.75" customHeight="1">
      <c r="B15" s="32" t="s">
        <v>130</v>
      </c>
      <c r="C15" s="21" t="s">
        <v>131</v>
      </c>
      <c r="D15" s="33" t="s">
        <v>132</v>
      </c>
      <c r="E15" s="37" t="s">
        <v>133</v>
      </c>
    </row>
    <row r="16" spans="1:5" ht="39.75" customHeight="1">
      <c r="B16" s="35" t="s">
        <v>134</v>
      </c>
      <c r="C16" s="27" t="s">
        <v>135</v>
      </c>
      <c r="D16" s="36" t="s">
        <v>136</v>
      </c>
      <c r="E16" s="37" t="s">
        <v>137</v>
      </c>
    </row>
    <row r="17" spans="1:5" ht="39.75" customHeight="1">
      <c r="B17" s="32" t="s">
        <v>138</v>
      </c>
      <c r="C17" s="21" t="s">
        <v>139</v>
      </c>
      <c r="D17" s="33" t="s">
        <v>140</v>
      </c>
      <c r="E17" s="34" t="s">
        <v>141</v>
      </c>
    </row>
    <row r="18" spans="1:5" ht="39.75" customHeight="1">
      <c r="B18" s="35" t="s">
        <v>142</v>
      </c>
      <c r="C18" s="27" t="s">
        <v>143</v>
      </c>
      <c r="D18" s="36" t="s">
        <v>144</v>
      </c>
      <c r="E18" s="34" t="s">
        <v>145</v>
      </c>
    </row>
    <row r="19" spans="1:5" ht="39.75" customHeight="1">
      <c r="B19" s="32" t="s">
        <v>146</v>
      </c>
      <c r="C19" s="21" t="s">
        <v>147</v>
      </c>
      <c r="D19" s="33" t="s">
        <v>148</v>
      </c>
      <c r="E19" s="34" t="s">
        <v>149</v>
      </c>
    </row>
    <row r="20" spans="1:5" ht="39.75" customHeight="1">
      <c r="B20" s="35" t="s">
        <v>150</v>
      </c>
      <c r="C20" s="27" t="s">
        <v>151</v>
      </c>
      <c r="D20" s="36" t="s">
        <v>152</v>
      </c>
      <c r="E20" s="34" t="s">
        <v>153</v>
      </c>
    </row>
    <row r="21" spans="1:5" ht="14.25" customHeight="1"/>
    <row r="22" spans="1:5" ht="25.5" customHeight="1">
      <c r="A22" s="44" t="s">
        <v>170</v>
      </c>
      <c r="B22" s="67"/>
      <c r="C22" s="67"/>
      <c r="D22" s="67"/>
      <c r="E22" s="68"/>
    </row>
    <row r="23" spans="1:5" ht="25.5" customHeight="1">
      <c r="A23" s="44" t="s">
        <v>168</v>
      </c>
      <c r="B23" s="67"/>
      <c r="C23" s="67"/>
      <c r="D23" s="67"/>
      <c r="E23" s="68"/>
    </row>
    <row r="24" spans="1:5" ht="25.5" customHeight="1">
      <c r="A24" s="69" t="s">
        <v>169</v>
      </c>
      <c r="B24" s="67"/>
      <c r="C24" s="67"/>
      <c r="D24" s="67"/>
      <c r="E24" s="68"/>
    </row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4">
    <mergeCell ref="A1:E1"/>
    <mergeCell ref="A22:E22"/>
    <mergeCell ref="A23:E23"/>
    <mergeCell ref="A24:E24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Data Cleaning</vt:lpstr>
      <vt:lpstr>Analysis</vt:lpstr>
      <vt:lpstr>Dashboard</vt:lpstr>
      <vt:lpstr>Project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 fli</cp:lastModifiedBy>
  <dcterms:created xsi:type="dcterms:W3CDTF">2026-03-29T03:30:04Z</dcterms:created>
  <dcterms:modified xsi:type="dcterms:W3CDTF">2026-04-10T09:50:32Z</dcterms:modified>
</cp:coreProperties>
</file>